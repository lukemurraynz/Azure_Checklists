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02" codeName="{AE6600E7-7A62-396C-DE95-9942FA9DD81E}"/>
  <workbookPr codeName="ThisWorkbook" defaultThemeVersion="166925"/>
  <mc:AlternateContent xmlns:mc="http://schemas.openxmlformats.org/markup-compatibility/2006">
    <mc:Choice Requires="x15">
      <x15ac:absPath xmlns:x15ac="http://schemas.microsoft.com/office/spreadsheetml/2010/11/ac" url="D:\GitHub\Azure_Checklists\"/>
    </mc:Choice>
  </mc:AlternateContent>
  <xr:revisionPtr revIDLastSave="0" documentId="13_ncr:1_{682827AB-6A1C-4A03-8A9B-BD77B6467CC8}" xr6:coauthVersionLast="47" xr6:coauthVersionMax="47" xr10:uidLastSave="{00000000-0000-0000-0000-000000000000}"/>
  <bookViews>
    <workbookView xWindow="2190" yWindow="4080" windowWidth="35625" windowHeight="14730" tabRatio="320" activeTab="1" xr2:uid="{7C48A3BA-F709-465A-898F-4602D688CCF0}"/>
  </bookViews>
  <sheets>
    <sheet name="Dashboard" sheetId="7" r:id="rId1"/>
    <sheet name="Checklist" sheetId="5" r:id="rId2"/>
    <sheet name="Values" sheetId="6" r:id="rId3"/>
  </sheets>
  <functionGroups builtInGroupCount="19"/>
  <definedNames>
    <definedName name="_xlnm._FilterDatabase" localSheetId="1" hidden="1">Checklist!$A$9:$I$207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8" i="5" l="1"/>
  <c r="E7" i="5"/>
  <c r="N5" i="7"/>
  <c r="F5" i="7"/>
  <c r="F7" i="5"/>
  <c r="F8" i="5"/>
  <c r="D55" i="7" a="1"/>
  <c r="D55" i="7" s="1"/>
  <c r="D54" i="7" a="1"/>
  <c r="D54" i="7" s="1"/>
  <c r="D53" i="7" a="1"/>
  <c r="D53" i="7" s="1"/>
  <c r="D52" i="7" a="1"/>
  <c r="D52" i="7" s="1"/>
  <c r="D51" i="7" a="1"/>
  <c r="D51" i="7" s="1"/>
  <c r="C55" i="7" a="1"/>
  <c r="C55" i="7" s="1"/>
  <c r="C54" i="7" a="1"/>
  <c r="C54" i="7" s="1"/>
  <c r="C53" i="7" a="1"/>
  <c r="C53" i="7" s="1"/>
  <c r="C52" i="7" a="1"/>
  <c r="C52" i="7" s="1"/>
  <c r="C51" i="7" a="1"/>
  <c r="C51" i="7" s="1"/>
  <c r="B55" i="7" a="1"/>
  <c r="B55" i="7" s="1"/>
  <c r="B54" i="7" a="1"/>
  <c r="B54" i="7" s="1"/>
  <c r="B53" i="7" a="1"/>
  <c r="B53" i="7" s="1"/>
  <c r="B51" i="7" a="1"/>
  <c r="B51" i="7" s="1"/>
  <c r="B52" i="7" a="1"/>
  <c r="B52" i="7" s="1"/>
  <c r="F4" i="5"/>
  <c r="F6" i="5"/>
  <c r="F5" i="5"/>
  <c r="E6" i="5"/>
  <c r="E5" i="5"/>
  <c r="E4" i="5"/>
  <c r="P28" i="7"/>
  <c r="S28" i="7" s="1" a="1"/>
  <c r="S28" i="7" s="1"/>
  <c r="P27" i="7"/>
  <c r="S27" i="7" s="1" a="1"/>
  <c r="S27" i="7" s="1"/>
  <c r="P26" i="7"/>
  <c r="S26" i="7" s="1" a="1"/>
  <c r="S26" i="7" s="1"/>
  <c r="P25" i="7"/>
  <c r="S25" i="7" s="1" a="1"/>
  <c r="S25" i="7" s="1"/>
  <c r="P24" i="7"/>
  <c r="S24" i="7" s="1" a="1"/>
  <c r="S24" i="7" s="1"/>
  <c r="P23" i="7"/>
  <c r="S23" i="7" s="1" a="1"/>
  <c r="S23" i="7" s="1"/>
  <c r="P22" i="7"/>
  <c r="S22" i="7" s="1" a="1"/>
  <c r="S22" i="7" s="1"/>
  <c r="P21" i="7"/>
  <c r="S21" i="7" s="1" a="1"/>
  <c r="S21" i="7" s="1"/>
  <c r="I13" i="7"/>
  <c r="I12" i="7"/>
  <c r="N12" i="7" s="1" a="1"/>
  <c r="N12" i="7" s="1"/>
  <c r="I11" i="7"/>
  <c r="N11" i="7" s="1" a="1"/>
  <c r="N11" i="7" s="1"/>
  <c r="I10" i="7"/>
  <c r="N10" i="7" s="1" a="1"/>
  <c r="N10" i="7" s="1"/>
  <c r="I9" i="7"/>
  <c r="N9" i="7" s="1" a="1"/>
  <c r="N9" i="7" s="1"/>
  <c r="I8" i="7"/>
  <c r="N8" i="7" s="1" a="1"/>
  <c r="N8" i="7" s="1"/>
  <c r="I7" i="7"/>
  <c r="N7" i="7" s="1" a="1"/>
  <c r="N7" i="7" s="1"/>
  <c r="I6" i="7"/>
  <c r="N6" i="7" s="1" a="1"/>
  <c r="N6" i="7" s="1"/>
  <c r="N13" i="7" l="1" a="1"/>
  <c r="N13" i="7" s="1"/>
  <c r="N14" i="7" s="1"/>
  <c r="E54" i="7"/>
  <c r="O8" i="5" s="1"/>
  <c r="E55" i="7"/>
  <c r="P8" i="5" s="1"/>
  <c r="E52" i="7"/>
  <c r="M8" i="5" s="1"/>
  <c r="E53" i="7"/>
  <c r="N8" i="5" s="1"/>
  <c r="E51" i="7"/>
  <c r="L8" i="5" s="1"/>
  <c r="Q28" i="7" l="1" a="1"/>
  <c r="Q28" i="7" s="1"/>
  <c r="R20" i="7"/>
  <c r="R28" i="7" s="1" a="1"/>
  <c r="R28" i="7" s="1"/>
  <c r="Q20" i="7"/>
  <c r="M5" i="7"/>
  <c r="M13" i="7" s="1" a="1"/>
  <c r="M13" i="7" s="1"/>
  <c r="L5" i="7"/>
  <c r="L13" i="7" s="1" a="1"/>
  <c r="L13" i="7" s="1"/>
  <c r="K5" i="7"/>
  <c r="K13" i="7" s="1" a="1"/>
  <c r="K13" i="7" s="1"/>
  <c r="J5" i="7"/>
  <c r="J13" i="7" s="1" a="1"/>
  <c r="J13" i="7" s="1"/>
  <c r="E5" i="7"/>
  <c r="D5" i="7"/>
  <c r="C5" i="7"/>
  <c r="B5" i="7"/>
  <c r="A7" i="7"/>
  <c r="F7" i="7" s="1" a="1"/>
  <c r="F7" i="7" s="1"/>
  <c r="A8" i="7"/>
  <c r="F8" i="7" s="1" a="1"/>
  <c r="F8" i="7" s="1"/>
  <c r="A6" i="7"/>
  <c r="F6" i="7" s="1" a="1"/>
  <c r="F6" i="7" s="1"/>
  <c r="O13" i="7" l="1"/>
  <c r="J11" i="7" a="1"/>
  <c r="J11" i="7" s="1"/>
  <c r="F9" i="7"/>
  <c r="L9" i="7" a="1"/>
  <c r="L9" i="7" s="1"/>
  <c r="M12" i="7" a="1"/>
  <c r="M12" i="7" s="1"/>
  <c r="M10" i="7" a="1"/>
  <c r="M10" i="7" s="1"/>
  <c r="M6" i="7" a="1"/>
  <c r="M6" i="7" s="1"/>
  <c r="T28" i="7"/>
  <c r="U28" i="7" s="1"/>
  <c r="R21" i="7" a="1"/>
  <c r="R21" i="7" s="1"/>
  <c r="R27" i="7" a="1"/>
  <c r="R27" i="7" s="1"/>
  <c r="Q24" i="7" a="1"/>
  <c r="Q24" i="7" s="1"/>
  <c r="E8" i="7" a="1"/>
  <c r="E8" i="7" s="1"/>
  <c r="R23" i="7" a="1"/>
  <c r="R23" i="7" s="1"/>
  <c r="L8" i="7" a="1"/>
  <c r="L8" i="7" s="1"/>
  <c r="B6" i="7" a="1"/>
  <c r="B6" i="7" s="1"/>
  <c r="E7" i="7" a="1"/>
  <c r="E7" i="7" s="1"/>
  <c r="Q22" i="7" a="1"/>
  <c r="Q22" i="7" s="1"/>
  <c r="M7" i="7" a="1"/>
  <c r="M7" i="7" s="1"/>
  <c r="B7" i="7" a="1"/>
  <c r="B7" i="7" s="1"/>
  <c r="C6" i="7" a="1"/>
  <c r="C6" i="7" s="1"/>
  <c r="B8" i="7" a="1"/>
  <c r="B8" i="7" s="1"/>
  <c r="C8" i="7" a="1"/>
  <c r="C8" i="7" s="1"/>
  <c r="D8" i="7" a="1"/>
  <c r="D8" i="7" s="1"/>
  <c r="C7" i="7" a="1"/>
  <c r="C7" i="7" s="1"/>
  <c r="D7" i="7" a="1"/>
  <c r="D7" i="7" s="1"/>
  <c r="D6" i="7" a="1"/>
  <c r="D6" i="7" s="1"/>
  <c r="E6" i="7" a="1"/>
  <c r="E6" i="7" s="1"/>
  <c r="K12" i="7" a="1"/>
  <c r="K12" i="7" s="1"/>
  <c r="K7" i="7" a="1"/>
  <c r="K7" i="7" s="1"/>
  <c r="L12" i="7" a="1"/>
  <c r="L12" i="7" s="1"/>
  <c r="M9" i="7" a="1"/>
  <c r="M9" i="7" s="1"/>
  <c r="J9" i="7" a="1"/>
  <c r="J9" i="7" s="1"/>
  <c r="Q23" i="7" a="1"/>
  <c r="Q23" i="7" s="1"/>
  <c r="J8" i="7" a="1"/>
  <c r="J8" i="7" s="1"/>
  <c r="M8" i="7" a="1"/>
  <c r="M8" i="7" s="1"/>
  <c r="J12" i="7" a="1"/>
  <c r="J12" i="7" s="1"/>
  <c r="Q27" i="7" a="1"/>
  <c r="Q27" i="7" s="1"/>
  <c r="Q26" i="7" a="1"/>
  <c r="Q26" i="7" s="1"/>
  <c r="R26" i="7" a="1"/>
  <c r="R26" i="7" s="1"/>
  <c r="K11" i="7" a="1"/>
  <c r="K11" i="7" s="1"/>
  <c r="L11" i="7" a="1"/>
  <c r="L11" i="7" s="1"/>
  <c r="M11" i="7" a="1"/>
  <c r="M11" i="7" s="1"/>
  <c r="R25" i="7" a="1"/>
  <c r="R25" i="7" s="1"/>
  <c r="K10" i="7" a="1"/>
  <c r="K10" i="7" s="1"/>
  <c r="Q25" i="7" a="1"/>
  <c r="Q25" i="7" s="1"/>
  <c r="L10" i="7" a="1"/>
  <c r="L10" i="7" s="1"/>
  <c r="J10" i="7" a="1"/>
  <c r="J10" i="7" s="1"/>
  <c r="R24" i="7" a="1"/>
  <c r="R24" i="7" s="1"/>
  <c r="K9" i="7" a="1"/>
  <c r="K9" i="7" s="1"/>
  <c r="K8" i="7" a="1"/>
  <c r="K8" i="7" s="1"/>
  <c r="R22" i="7" a="1"/>
  <c r="R22" i="7" s="1"/>
  <c r="L7" i="7" a="1"/>
  <c r="L7" i="7" s="1"/>
  <c r="J7" i="7" a="1"/>
  <c r="J7" i="7" s="1"/>
  <c r="K6" i="7" a="1"/>
  <c r="K6" i="7" s="1"/>
  <c r="Q21" i="7" a="1"/>
  <c r="Q21" i="7" s="1"/>
  <c r="J6" i="7" a="1"/>
  <c r="J6" i="7" s="1"/>
  <c r="L6" i="7" a="1"/>
  <c r="L6" i="7" s="1"/>
  <c r="O12" i="7" l="1"/>
  <c r="O11" i="7"/>
  <c r="O6" i="7"/>
  <c r="O9" i="7"/>
  <c r="O10" i="7"/>
  <c r="O7" i="7"/>
  <c r="O8" i="7"/>
  <c r="G7" i="7"/>
  <c r="G6" i="7"/>
  <c r="G8" i="7"/>
  <c r="Q29" i="7"/>
  <c r="S29" i="7"/>
  <c r="M14" i="7"/>
  <c r="R29" i="7"/>
  <c r="J14" i="7"/>
  <c r="L14" i="7"/>
  <c r="K14" i="7"/>
  <c r="E9" i="7"/>
  <c r="B9" i="7"/>
  <c r="C9" i="7"/>
  <c r="D9" i="7"/>
  <c r="T24" i="7"/>
  <c r="U24" i="7" s="1"/>
  <c r="T23" i="7"/>
  <c r="U23" i="7" s="1"/>
  <c r="T27" i="7"/>
  <c r="U27" i="7" s="1"/>
  <c r="T22" i="7"/>
  <c r="U22" i="7" s="1"/>
  <c r="T25" i="7"/>
  <c r="U25" i="7" s="1"/>
  <c r="T21" i="7"/>
  <c r="T26" i="7"/>
  <c r="U26" i="7" s="1"/>
  <c r="U21" i="7" l="1"/>
  <c r="T29" i="7"/>
  <c r="D2" i="7" s="1"/>
  <c r="O14" i="7"/>
  <c r="G9" i="7"/>
  <c r="E2" i="7" l="1"/>
  <c r="U29" i="7"/>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<sst xmlns="http://schemas.openxmlformats.org/spreadsheetml/2006/main" count="1566" uniqueCount="722">
  <si>
    <t>Main Area</t>
  </si>
  <si>
    <t>Sub Area</t>
  </si>
  <si>
    <t>Severity</t>
  </si>
  <si>
    <t>Status</t>
  </si>
  <si>
    <t>Comment</t>
  </si>
  <si>
    <t>High</t>
  </si>
  <si>
    <t>Not verified</t>
  </si>
  <si>
    <t>Low</t>
  </si>
  <si>
    <t>Medium</t>
  </si>
  <si>
    <t>Open</t>
  </si>
  <si>
    <t>Fulfilled</t>
  </si>
  <si>
    <t>N/A</t>
  </si>
  <si>
    <r>
      <rPr>
        <sz val="28"/>
        <color rgb="FF0078D4"/>
        <rFont val="Segoe UI Semibold"/>
        <family val="2"/>
      </rPr>
      <t xml:space="preserve">FastTrack for Azure
</t>
    </r>
    <r>
      <rPr>
        <b/>
        <sz val="14"/>
        <color rgb="FF625E5E"/>
        <rFont val="Segoe UI Semibold"/>
        <family val="2"/>
      </rPr>
      <t>Azure Review Checklist</t>
    </r>
  </si>
  <si>
    <t>More info</t>
  </si>
  <si>
    <t>Review Status</t>
  </si>
  <si>
    <t>Category</t>
  </si>
  <si>
    <t>Total</t>
  </si>
  <si>
    <t>Progress</t>
  </si>
  <si>
    <t>Closed</t>
  </si>
  <si>
    <t>Training</t>
  </si>
  <si>
    <t>Reference checklist base URL</t>
  </si>
  <si>
    <t>GUID</t>
  </si>
  <si>
    <t>https://raw.githubusercontent.com/Azure/review-checklists/main/checklists/</t>
  </si>
  <si>
    <t>Reviewed Items</t>
  </si>
  <si>
    <t>Open Items</t>
  </si>
  <si>
    <t>Default title</t>
  </si>
  <si>
    <t>Checklist item</t>
  </si>
  <si>
    <t>Description (optional)</t>
  </si>
  <si>
    <t>Technologies</t>
  </si>
  <si>
    <t>Languages</t>
  </si>
  <si>
    <t>Landing Zone</t>
  </si>
  <si>
    <t>AKS</t>
  </si>
  <si>
    <t>AVD</t>
  </si>
  <si>
    <t>Security</t>
  </si>
  <si>
    <t>English</t>
  </si>
  <si>
    <t>Japanese</t>
  </si>
  <si>
    <t>Korean</t>
  </si>
  <si>
    <t>Brazilian Portuguese</t>
  </si>
  <si>
    <t>Spanish</t>
  </si>
  <si>
    <t>Use the "Import latest checklist" button to get the latest version of a review checklist</t>
  </si>
  <si>
    <t>AVS</t>
  </si>
  <si>
    <r>
      <rPr>
        <sz val="10"/>
        <color theme="1"/>
        <rFont val="Wingdings"/>
        <charset val="2"/>
      </rPr>
      <t>ç</t>
    </r>
    <r>
      <rPr>
        <sz val="10"/>
        <color theme="1"/>
        <rFont val="Segoe UI"/>
        <family val="2"/>
      </rPr>
      <t xml:space="preserve">
Select a technology
and a language
</t>
    </r>
    <r>
      <rPr>
        <sz val="10"/>
        <color theme="1"/>
        <rFont val="Wingdings"/>
        <charset val="2"/>
      </rPr>
      <t>ç</t>
    </r>
  </si>
  <si>
    <t>Status descriptions</t>
  </si>
  <si>
    <t>This check has not been looked at yet</t>
  </si>
  <si>
    <t>There is an action item associated to this check</t>
  </si>
  <si>
    <t>Not applicable for current design</t>
  </si>
  <si>
    <t>This check has been verified, and there are no further action items associated to it</t>
  </si>
  <si>
    <t>Multitenancy</t>
  </si>
  <si>
    <t>Technology file prefix</t>
  </si>
  <si>
    <t>lz</t>
  </si>
  <si>
    <t>aks</t>
  </si>
  <si>
    <t>avd</t>
  </si>
  <si>
    <t>avs</t>
  </si>
  <si>
    <t>security</t>
  </si>
  <si>
    <t>Language file suffix</t>
  </si>
  <si>
    <t>en</t>
  </si>
  <si>
    <t>ja</t>
  </si>
  <si>
    <t>ko</t>
  </si>
  <si>
    <t>pt</t>
  </si>
  <si>
    <t>es</t>
  </si>
  <si>
    <t>multitenancy</t>
  </si>
  <si>
    <t>Cost</t>
  </si>
  <si>
    <t>Scale</t>
  </si>
  <si>
    <t>Secure</t>
  </si>
  <si>
    <t>Simple</t>
  </si>
  <si>
    <t>HA</t>
  </si>
  <si>
    <t>Cost-efficient</t>
  </si>
  <si>
    <t>Highly available</t>
  </si>
  <si>
    <t>Scalable</t>
  </si>
  <si>
    <t>Not required</t>
  </si>
  <si>
    <t>Min (F/NR/O)</t>
  </si>
  <si>
    <t>Max (F/NR/O)</t>
  </si>
  <si>
    <t>F+O</t>
  </si>
  <si>
    <t>Max score only Fulfilled/NotRequired/Open</t>
  </si>
  <si>
    <t>Graph Query</t>
  </si>
  <si>
    <t>Recommendation understood, but not needed by current requirements</t>
  </si>
  <si>
    <t>SAP</t>
  </si>
  <si>
    <t>sap</t>
  </si>
  <si>
    <t>App Services Security</t>
  </si>
  <si>
    <t>appsvc_security</t>
  </si>
  <si>
    <t>apim</t>
  </si>
  <si>
    <t>sqldb_security</t>
  </si>
  <si>
    <t>Azure SQL DB Security</t>
  </si>
  <si>
    <t>Blob Storage Security</t>
  </si>
  <si>
    <t>blob_storage_security</t>
  </si>
  <si>
    <t>ACR Security</t>
  </si>
  <si>
    <t>acr_security</t>
  </si>
  <si>
    <t>Events Hub Security</t>
  </si>
  <si>
    <t>Service Bus Security</t>
  </si>
  <si>
    <t>eh_security</t>
  </si>
  <si>
    <t>asb_security</t>
  </si>
  <si>
    <t>API Management</t>
  </si>
  <si>
    <t>65285269-440b-44be-9d3e-0844276d4bdc</t>
  </si>
  <si>
    <t>Azure Architecture - Solution requirement considerations</t>
  </si>
  <si>
    <t>Resiliency</t>
  </si>
  <si>
    <t xml:space="preserve">High availability (HA) </t>
  </si>
  <si>
    <t>What is the solution's SLA?</t>
  </si>
  <si>
    <t>Are there any service dependencies that will impact this solution's availability?</t>
  </si>
  <si>
    <t>BC/DR (Business Continuity and Disaster Recovery)</t>
  </si>
  <si>
    <t>What is the RTO/RPO?</t>
  </si>
  <si>
    <t>Is the solution business-critical?</t>
  </si>
  <si>
    <t>What HA features are available in the current applications?</t>
  </si>
  <si>
    <t>Which regions do you need to deploy to?</t>
  </si>
  <si>
    <t>Will the DR solution need to meet the same production requirements (ex. same/reduced traffic, lower performance)</t>
  </si>
  <si>
    <t>How do users access the service now, via IP, URL etc</t>
  </si>
  <si>
    <t>Do you have an existing DR or Incident Recovery Plan?</t>
  </si>
  <si>
    <t>How do you perform DR testing?</t>
  </si>
  <si>
    <t>What are your biggest threat vectors?</t>
  </si>
  <si>
    <t>Do you need Firewall? Egress/Ingress restrictions?</t>
  </si>
  <si>
    <t>Are you subject to any regulatory/organizational mandates or policies?</t>
  </si>
  <si>
    <t>Identity</t>
  </si>
  <si>
    <t>Do you need to support identities from identity providers external to Azure Active Directory (eg., Google, Facebook, Active Directory Federation Services)?</t>
  </si>
  <si>
    <t>Do you need to share your apps and resources with external users? (B2B collaboration)</t>
  </si>
  <si>
    <t>Do you need to build user journeys with a white-label identity management solution for consumer- and customer-facing apps (B2C collaboration)</t>
  </si>
  <si>
    <t>What are you currently using to authenticate your users?</t>
  </si>
  <si>
    <t>What are you currently using to authorize user/group/service access to your services?</t>
  </si>
  <si>
    <t>Data</t>
  </si>
  <si>
    <t>Backup</t>
  </si>
  <si>
    <t>Do you have retention policy?</t>
  </si>
  <si>
    <t>How is data backed up?</t>
  </si>
  <si>
    <t>Are their policies impacting how the data is shared?</t>
  </si>
  <si>
    <t xml:space="preserve">How much data does the solution generate? </t>
  </si>
  <si>
    <t xml:space="preserve">Is your data segregated by customer? </t>
  </si>
  <si>
    <t>How do they access the data?</t>
  </si>
  <si>
    <t>AI</t>
  </si>
  <si>
    <t>What level of AI is of interest? (Bots, Cognitive Service API, Data Scientist platforms, Machine Learning models)</t>
  </si>
  <si>
    <t>What skill sets do you have on staff? (Data scientists, Developers)</t>
  </si>
  <si>
    <t>What data sets do you have to leverage? (public/proprietary)</t>
  </si>
  <si>
    <t>What feature/functionality are you supporting with the AI?</t>
  </si>
  <si>
    <t>Observability</t>
  </si>
  <si>
    <t>What existing solutions are you using? Provided internally, by another provider?</t>
  </si>
  <si>
    <t>What resolution/metrics do you need to understand the performance of your app/understand if you are meeting SLA?</t>
  </si>
  <si>
    <t>Monitoring</t>
  </si>
  <si>
    <t>What is needed at the network level, platform level, application level, user experience level?</t>
  </si>
  <si>
    <t>Logs</t>
  </si>
  <si>
    <t>How are logs collected? aggregated?</t>
  </si>
  <si>
    <t>Alerts</t>
  </si>
  <si>
    <t>How do you know if the service experiences problems?</t>
  </si>
  <si>
    <t>Who will be receiving the alerts?</t>
  </si>
  <si>
    <t>Tenancy</t>
  </si>
  <si>
    <t>Is this a single tenancy, or multiple tenant application?</t>
  </si>
  <si>
    <t>Is this a hybrid application or infrastructure?</t>
  </si>
  <si>
    <t>Scaling</t>
  </si>
  <si>
    <t>What's your traffic volume at normal load? Peak?</t>
  </si>
  <si>
    <t>What is the bottleneck that causes you to scale? (e.g. Memory, CPU, bandwidth)</t>
  </si>
  <si>
    <t>Are there any leading indicators to help you scale?</t>
  </si>
  <si>
    <t>Do you have scalability/performance requirements? Ex. Number of users, transactions per second, Number of SQL statements running simultaneously</t>
  </si>
  <si>
    <t>Are there upcoming events that you anticipate growth/traffic spikes for?</t>
  </si>
  <si>
    <t>Is your application written with microservices or as a monolith? Can the components be deployed as seperate services?</t>
  </si>
  <si>
    <t>Are there closely coupled systems that must also scale or will be impacted when the solution scales up?</t>
  </si>
  <si>
    <t>Governance</t>
  </si>
  <si>
    <t xml:space="preserve">What is currently in place for governance? </t>
  </si>
  <si>
    <t>Who controls environment access?</t>
  </si>
  <si>
    <t>Who dictates the enforcement policy and how is it enacted?</t>
  </si>
  <si>
    <t>Who dictates the audit policy and how is it enacted?</t>
  </si>
  <si>
    <t>Policy</t>
  </si>
  <si>
    <t>DevOps</t>
  </si>
  <si>
    <t>What environments do you have? (e.g. Dev/Test/Prod)</t>
  </si>
  <si>
    <t>How are you creating new software artifacts?</t>
  </si>
  <si>
    <t>How do you deploy the new software artifacts across your environments?</t>
  </si>
  <si>
    <t>Compliance</t>
  </si>
  <si>
    <t>Are you bound, by any key industry or security frameworks (ie SOC, HIPAA, ISO, PCI, NZISM)</t>
  </si>
  <si>
    <t>Are you subject to security audits?</t>
  </si>
  <si>
    <t>Do you have any compliance requirements?</t>
  </si>
  <si>
    <t xml:space="preserve">How do you currently track compliance? </t>
  </si>
  <si>
    <t>Who is responsible for system compliance?</t>
  </si>
  <si>
    <t>Business</t>
  </si>
  <si>
    <t>Goals</t>
  </si>
  <si>
    <t>Why are we moving the solution to Azure?</t>
  </si>
  <si>
    <t>What outcomes will you achieve for customer?</t>
  </si>
  <si>
    <t>Is there a timeline for building the solution Azure?</t>
  </si>
  <si>
    <t>Is there a targeted event or date for an announcement about the solution's availability on Azure?</t>
  </si>
  <si>
    <t>Customers</t>
  </si>
  <si>
    <t>What are the customer expecations?</t>
  </si>
  <si>
    <t>Is there a deal or customer opportunity associated with having the solution in Azure?</t>
  </si>
  <si>
    <t>Are customers requesting the solution in Azure or the Cloud?</t>
  </si>
  <si>
    <t>How many customers do you have?</t>
  </si>
  <si>
    <t>Are customers willing to work with you to pilot the solution in Azure?</t>
  </si>
  <si>
    <t>Are your customers already using Azure?</t>
  </si>
  <si>
    <t>Are customers already comfortable using Azure/Cloud?</t>
  </si>
  <si>
    <t>Partners</t>
  </si>
  <si>
    <t>Do customers work with partners to implement and manage the solution?</t>
  </si>
  <si>
    <t>Who are the partners?</t>
  </si>
  <si>
    <t>Are they also Microsoft partners?</t>
  </si>
  <si>
    <t>What does a typical engagement look like?</t>
  </si>
  <si>
    <t>Should your partners also be aware of how to implement the solution on Azure?</t>
  </si>
  <si>
    <t>Industry</t>
  </si>
  <si>
    <t>What industry will this solution or customer operate in? (Retail, Healthcare, Federal, Insurance)</t>
  </si>
  <si>
    <t>What roles in that industry do customers have (e.g Healthcare: payer, provider, research, pharma, etc)</t>
  </si>
  <si>
    <t>Are there any special industry/compliance security requirements?</t>
  </si>
  <si>
    <t>Are there government regulations that need to be considered?</t>
  </si>
  <si>
    <t>Will the solution be required to run in certain Azure datacenters (Government or Geo specific)?</t>
  </si>
  <si>
    <t>Hosting</t>
  </si>
  <si>
    <t>Do customers host the solution themselves?</t>
  </si>
  <si>
    <t>Do you offer a hosting service?</t>
  </si>
  <si>
    <t>Will you be migrating existing customers to the cloud?</t>
  </si>
  <si>
    <t>Is the cloud solution for new customers only?</t>
  </si>
  <si>
    <t>Will you continue to onboard customers into your existing hosting environment?</t>
  </si>
  <si>
    <t>Is the cloud only for certain kinds of customers?</t>
  </si>
  <si>
    <t>Competitors</t>
  </si>
  <si>
    <t>What are the strategic advantages of the solution, compared to competitors?</t>
  </si>
  <si>
    <t>What is the strategy for your solution in the marketplace?</t>
  </si>
  <si>
    <t>Do you have a differentiated solution?</t>
  </si>
  <si>
    <t xml:space="preserve">Who are the solution's competitors? </t>
  </si>
  <si>
    <t>How can Azure make your solution more competitive?</t>
  </si>
  <si>
    <t>Licensing</t>
  </si>
  <si>
    <t>How do you license the solution today?</t>
  </si>
  <si>
    <t>How is the solution sold?</t>
  </si>
  <si>
    <t>Going forward, will this become a cloud/SAAS only solution?</t>
  </si>
  <si>
    <t>Is the solution delivered in different offerings or tiers?</t>
  </si>
  <si>
    <t>Are there t-shirt sized offerings for the solution?</t>
  </si>
  <si>
    <t>Are there different support/BCDR levels per solution tier?</t>
  </si>
  <si>
    <t>What is the typical sales cycle for the solution?</t>
  </si>
  <si>
    <t>What are the pain points in the sales cycle?</t>
  </si>
  <si>
    <t>How will moving to the cloud affect the sales cycle?</t>
  </si>
  <si>
    <t>Is this an internal line of busines solution or is it external facing?</t>
  </si>
  <si>
    <t>Do your customers rely on the solution to provide services to their own end-customers?</t>
  </si>
  <si>
    <t>Marketplace</t>
  </si>
  <si>
    <t>Is the solution self-service?</t>
  </si>
  <si>
    <t>Is the solution managed or SAAS?</t>
  </si>
  <si>
    <t>Will the solution run in a subscription owned by the partner or by the customer?</t>
  </si>
  <si>
    <t>Does the solution need to run in a customer subscription but still managed by a partner?</t>
  </si>
  <si>
    <t>Does the solution require a billing solution?</t>
  </si>
  <si>
    <t>Does the solution require a subscription or consumption billing model?</t>
  </si>
  <si>
    <t>Can the solution deployment and configuration be completely automated?</t>
  </si>
  <si>
    <t>Does the solution integrate with Microsoft platforms (Dynamics, Power BI, Office 365, etc)?</t>
  </si>
  <si>
    <t>Does the solution authenticate users with SSO with OAuth2, OIDC or SAML?</t>
  </si>
  <si>
    <t>Does the solution authenticate users with Azure AD?</t>
  </si>
  <si>
    <t>Is the solution tailored for specific industries?</t>
  </si>
  <si>
    <t>The level of interest can vary depending on the individual or organization's goals, such as developing practical applications for specific tasks, advancing basic research on AI, or exploring the potential ethical and societal implications of highly intelligent machines.</t>
  </si>
  <si>
    <t>Understand the reasoning behind the decision to move to a cloud platform like Azure. Helps to validate the end result reaches this goal.</t>
  </si>
  <si>
    <t>ca5f17f1-54e3-4aa3-9928-29e7e3161836</t>
  </si>
  <si>
    <t>What are the business objectives or quantifiable business goals?</t>
  </si>
  <si>
    <t>What is the business objectives (ie Increased sales revenue, cost reduction, customer satisaction, employee productivity</t>
  </si>
  <si>
    <t>87af467a-1f89-435b-ba43-324f24811633</t>
  </si>
  <si>
    <t>What is the  objectives for the customer? What do they want to achieve using this solution</t>
  </si>
  <si>
    <t>182aa517-4269-4440-88ae-7d7e4743276c</t>
  </si>
  <si>
    <t>Asking about the timeline for building a solution in Azure is important to determine resource allocation, budgeting, prioritization, and setting stakeholder expectations.</t>
  </si>
  <si>
    <t>8bdbf55b-ce61-49e8-a03f-98879424d626</t>
  </si>
  <si>
    <t>How many people will be accessing the solution?</t>
  </si>
  <si>
    <t xml:space="preserve">Asking about the number of people accessing the solution helps to determine the necessary resources and scalability required to accommodate the expected traffic and usage.      </t>
  </si>
  <si>
    <t>8739648b-662d-46c1-9f51-2965398e6dfd</t>
  </si>
  <si>
    <t>Timeline for architecture, deployment, testing can help determine what risks, resource requirements and cost and the delivery of solution.</t>
  </si>
  <si>
    <t>786d60b9-6c97-4be9-a519-0483845c986c</t>
  </si>
  <si>
    <t>Does the solution impact a Team, Department or organization?</t>
  </si>
  <si>
    <t>Impact on a team, department, or organization helps determine the scope and potential consequences of the solution, ensuring that all relevant stakeholders are considered and accounted for in the decision-making process.</t>
  </si>
  <si>
    <t>237de143-b16c-421d-9aa9-b64604489a8f</t>
  </si>
  <si>
    <t>Customer expectations helps ensure that the solution meets the needs and desires of the end-users, and make sure business outcomes match customer expectations.</t>
  </si>
  <si>
    <t>b2912156-a114-475e-99f5-41acccd97937</t>
  </si>
  <si>
    <t>Any associated deals or customer opportunities helps to understand the potential financial benefits, vendor offerings and growth opportunities of using Azure as a platform for the solution.</t>
  </si>
  <si>
    <t>6bcdb375-0ab2-4ab0-99da-6d55d7c892ad</t>
  </si>
  <si>
    <t>This question is asked to determine if the solution should be deployed on Azure specifically or if the customer is open to deploying it on a different cloud platform, and tasing out any assumptions on what 'the cloud' is.</t>
  </si>
  <si>
    <t>b107d532-5af6-425c-a44e-4685e2223ace</t>
  </si>
  <si>
    <t>This question is asked to help determine the number of customers that will be using the solution, and the potential impact of the solution on the customer base.</t>
  </si>
  <si>
    <t>8bb12307-ca5f-417f-854e-3aa3692829e7</t>
  </si>
  <si>
    <t>Asking about the willingness of customers to pilot a solution in Azure can help to assess their level of commitment and collaboration in the implementation process.</t>
  </si>
  <si>
    <t>e3161836-87af-4467-a1f8-935bda43324f</t>
  </si>
  <si>
    <t>This question can help determine if the customer, already has a base in Azure, and their experience level</t>
  </si>
  <si>
    <t>24811633-182a-4a51-9426-944008ae7d7e</t>
  </si>
  <si>
    <t>This question can help determine the customers experience level, and the likelihood of Cloud native solutions and training requirements.</t>
  </si>
  <si>
    <t>4743276c-8bdb-4f55-ace6-19e8a03f9887</t>
  </si>
  <si>
    <t>Are your customers already using services like M365, or D365?</t>
  </si>
  <si>
    <t>Asking about the use of M365 and D365 helps determine the integration possibilities with existing Microsoft solutions (ie Azure Active Directory), streamlining the overall solution architecture.</t>
  </si>
  <si>
    <t>9424d626-786d-460b-a6c9-7be985190483</t>
  </si>
  <si>
    <t>Who are the ISV's (independent software vendors) partners for professional services?</t>
  </si>
  <si>
    <t>Asking about ISV partners helps identify potential support resources and helps ensure the availability of necessary expertise and skills in professional services for the solution being architected.</t>
  </si>
  <si>
    <t>845c986c-b291-4215-9a11-475e39f541ac</t>
  </si>
  <si>
    <t>Partner involvement helps determine the level of support and resources needed for solution implementation and management, and can also help identify any potential barriers or challenges in these areas.</t>
  </si>
  <si>
    <t>ccd97937-6bcd-4b37-90ab-2ab039da6d55</t>
  </si>
  <si>
    <t>This question is intended to find contact details for any partners and the process for engagement etc</t>
  </si>
  <si>
    <t>d7c892ad-b107-4d53-85af-625ca44e4685</t>
  </si>
  <si>
    <t>This questions is asked to determine if they are Microsoft partners, and their partner status.</t>
  </si>
  <si>
    <t>e2223ace-8bb1-4230-9ca5-f17f154e3aa3</t>
  </si>
  <si>
    <t>This questions is asked to determine the processes around engaging and working with any relevant partners</t>
  </si>
  <si>
    <t>692829e7-e316-4183-987a-f467a1f8935b</t>
  </si>
  <si>
    <t>Will the partner need access to Azure or the application?</t>
  </si>
  <si>
    <t>Asking about partner access helps determine the necessary security and permissions requirements, and helps ensure that the right level of access is granted for a successful implementation and management of the solution.</t>
  </si>
  <si>
    <t>42d78e79-d17a-473b-82a5-a67e7a8ed4b3</t>
  </si>
  <si>
    <t>Is the partner or support provider located in the same region as the users?</t>
  </si>
  <si>
    <t>Asking about the location of the partner or support provider in relation to the users helps ensure low latency and fast support in case of any issues. It also can assist with designs around security.</t>
  </si>
  <si>
    <t>0e37c3e2-9711-4b23-93ce-ee079b598def</t>
  </si>
  <si>
    <t>Asking about the partners' knowledge of implementing the solution on Azure helps ensure that the implementation can be done smoothly and effectively, without relying solely on a single point of expertise.</t>
  </si>
  <si>
    <t>da43324f-2481-4163-9182-aa5174269440</t>
  </si>
  <si>
    <t>Asking about the industry helps determine the specific regulatory requirements and compliance needs that must be considered and addressed in the solution architecture.</t>
  </si>
  <si>
    <t>08ae7d7e-4743-4276-a8bd-bf55bce619e8</t>
  </si>
  <si>
    <t>Asking about the specific roles within an industry helps tailor the solution to meet the unique needs and requirements of each customer, ensuring the solution is optimized for their specific use case.</t>
  </si>
  <si>
    <t>a03f9887-9424-4d62-9786-d60b96c97be9</t>
  </si>
  <si>
    <t>Asking about special security requirements helps ensure that the solution meets necessary compliance standards and protects sensitive data, ensuring the security and privacy of customers' information.</t>
  </si>
  <si>
    <t>85190483-845c-4986-ab29-12156a11475e</t>
  </si>
  <si>
    <t>Asking about government regulations helps ensure that the solution meets all necessary legal requirements and complies with industry-specific regulations, avoiding any potential legal or financial repercussions.</t>
  </si>
  <si>
    <t>39f541ac-ccd9-4793-96bc-db3750ab2ab0</t>
  </si>
  <si>
    <t>Asking about the required Azure datacenters helps determine where the solution will be hosted and ensures compliance with any specific geographic or government-mandated regulations regarding data storage and processing.</t>
  </si>
  <si>
    <t>39da6d55-d7c8-492a-bb10-7d5325af625c</t>
  </si>
  <si>
    <t>Asking about customers hosting the solution themselves helps determine who is responsible for maintaining the infrastructure and how the solution will be deployed, enabling the architect to make appropriate design choices to meet the customers' needs.</t>
  </si>
  <si>
    <t>a44e4685-e222-43ac-b8bb-12307ca5f17f</t>
  </si>
  <si>
    <t>Asking about hosting service helps determine if Microsoft Azure will be the primary hosting solution for the solution being architected (ie Hybrid)</t>
  </si>
  <si>
    <t>154e3aa3-6928-429e-9e31-6183687af467</t>
  </si>
  <si>
    <t>If it's hosted in a competitor cloud, what does the architecture look like? How much does it cost to host today?</t>
  </si>
  <si>
    <t>Asking about the current hosting situation and costs helps provide context and a comparison for making informed decisions about using Microsoft Azure as a hosting option, and helps determine the feasibility and potential cost savings of transitioning to Azure.</t>
  </si>
  <si>
    <t>74269440-08ae-47d7-b474-3276c8bdbf55</t>
  </si>
  <si>
    <t>Migrating existing customers to the cloud helps determine the level of complexity and effort involved in moving the solution to Azure, and helps identify any potential challenges or dependencies that must be considered during the migration process.</t>
  </si>
  <si>
    <t>bce619e8-a03f-4988-9942-4d626786d60b</t>
  </si>
  <si>
    <t>Asking about the target audience for the cloud solution helps determine if the solution is designed for new customers only or if it will also be used to support existing customers, affecting the design choices and overall strategy for the solution.</t>
  </si>
  <si>
    <t>96c97be9-8519-4048-9845-c986cb291215</t>
  </si>
  <si>
    <t>Asking about continuing to onboard customers into existing hosting environment helps determine if the solution will be used exclusively in Microsoft Azure or if a hybrid approach with both Azure and existing hosting will be used, impacting the design choices and overall strategy for the solution.</t>
  </si>
  <si>
    <t>6a11475e-39f5-441a-accd-979376bcdb37</t>
  </si>
  <si>
    <t>Asking about the target audience for the cloud solution helps determine if the solution will be designed for specific types of customers, affecting the design choices and overall strategy for the multi-tenant architecture.</t>
  </si>
  <si>
    <t>50ab2ab0-39da-46d5-9d7c-892adb107d53</t>
  </si>
  <si>
    <t>Asking about the strategic advantages of the solution helps identify the unique value proposition and differentiators for the solution, providing direction and focus for the design and development, and positioning the solution competitively in the market.</t>
  </si>
  <si>
    <t>25af625c-a44e-4468-9e22-23ace8bb1230</t>
  </si>
  <si>
    <t>Asking about the marketplace strategy helps to determine the target audience, the competition, and the revenue model of the solution, which can inform the design and implementation on Azure.</t>
  </si>
  <si>
    <t>7ca5f17f-154e-43aa-9692-829e7e316183</t>
  </si>
  <si>
    <t>Asking if the solution is differentiated helps to understand the unique value proposition and identify potential competitive advantages, which can inform the design and implementation on Azure to better meet the needs and goals of the solution.</t>
  </si>
  <si>
    <t>3547c134-7dc5-4602-aa71-ffe1cd15dd2f</t>
  </si>
  <si>
    <t>Asking about the solution's competitors helps to understand the market landscape, identify potential challenges and opportunities</t>
  </si>
  <si>
    <t>0d5e772d-41e3-4611-ac57-b4a4b1410d43</t>
  </si>
  <si>
    <t>Are customers finding new 'substitutes' for your solution?</t>
  </si>
  <si>
    <t>Asking if customers are finding new substitutes for a solution helps to assess the level of competition and determine if the solution is still relevant in the market. This can also help with roadmap items and longevity of solution.</t>
  </si>
  <si>
    <t>958a8c22-89b3-4d6b-97cf-c645461e1a3e</t>
  </si>
  <si>
    <t>Helps to identify ways in which utilizing Microsoft Azure's features and capabilities can enhance the solution and provide a competitive advantage in the market.</t>
  </si>
  <si>
    <t>3453a3c8-6396-448b-952d-6c15f5029653</t>
  </si>
  <si>
    <t>An important considerting in the context of architecting a solution on Microsoft Azure because it helps determine the cost and potential licensing implications of using Microsoft Azure services and tools, and value per user of the solution.</t>
  </si>
  <si>
    <t>88e6ded2-27dd-4142-a06c-21c7999a646f</t>
  </si>
  <si>
    <t>This question can help inform any necessary adjustments that need to be made to integrate with any sales and billing systems</t>
  </si>
  <si>
    <t>4389a7f4-2c78-4e78-a06a-73a21a4956e6</t>
  </si>
  <si>
    <t>This question helps informs any necessary design and architectural decisions to ensure the solution can effectively run and scale as a cloud/SaaS offering in Microsoft Azure.</t>
  </si>
  <si>
    <t>a8dc4a20-e27b-43e2-a711-b1352beee079</t>
  </si>
  <si>
    <t>Asking whether a solution is delivered in different offerings or tiers helps determine the level of scalability and customization available.</t>
  </si>
  <si>
    <t>b588defc-4972-4cd3-ad21-bf77036e5e6b</t>
  </si>
  <si>
    <t>Asking about t-shirt sized offerings refers to the standard sizing convention for cloud computing, where offerings are classified as Small, Medium, Large, and Extra-Large, to help determine the level of resources and cost required for a solution in a Microsoft Azure cloud environment.</t>
  </si>
  <si>
    <t>4bed3d5f-3547-4c13-97dc-56028a71ffe1</t>
  </si>
  <si>
    <t>Asking about different support and Business Continuity and Disaster Recovery (BCDR) levels per solution tier helps determine the level of reliability and availability for a solution, as well as the level of technical support provided.</t>
  </si>
  <si>
    <t>cd15dd2f-0d5e-4772-b41e-3611cc57b4a4</t>
  </si>
  <si>
    <t>Understanding the sales cycle can also provide insights into the level of complexity involved in obtaining the solution and help plan for any necessary resources, such as budget and personnel. This information can also help set expectations with stakeholders and ensure a smooth and efficient procurement process.</t>
  </si>
  <si>
    <t>b1410d43-958a-48c2-889b-3d6b57cfc645</t>
  </si>
  <si>
    <t>Understanding these pain points can help address and mitigate any potential roadblocks and ensure a smoother procurement process. This information can also be used to improve the overall sales process and make it more user-friendly for future customers.</t>
  </si>
  <si>
    <t>461e1a3e-3453-4a3c-a639-648b652d6c15</t>
  </si>
  <si>
    <t xml:space="preserve">Moving to the cloud may bring new considerations and requirements, such as network security and data privacy, that could affect the sales cycle. </t>
  </si>
  <si>
    <t>f5029653-88e6-4ded-827d-d142b06c21c7</t>
  </si>
  <si>
    <t>Internal solutions may have different security and privacy requirements compared to external solutions, which are accessible to a broader audience. Understanding the target audience can help determine the necessary level of security, privacy, and compliance for the solution, as well as any potential regulatory requirements that need to be considered.</t>
  </si>
  <si>
    <t>999a646f-4389-4a7f-92c7-8e78c06a73a2</t>
  </si>
  <si>
    <t>Solutions that are relied upon by customers to provide services to their own end-customers typically have higher requirements for availability, reliability, and performance. Understanding the criticality of a solution can help determine the necessary level of resiliency and disaster recovery.</t>
  </si>
  <si>
    <t>1a4956e6-a8dc-44a2-8e27-b3e29711b135</t>
  </si>
  <si>
    <t>Understanding the sales method can help determine the level of customization, resources, and support available, as well as any necessary certifications or requirements for sales and support personnel.</t>
  </si>
  <si>
    <t>2beee079-b588-4def-a497-2cd3cd21bf77</t>
  </si>
  <si>
    <t>Understanding the level of self-service can help determine the necessary level of customer training and support, as well as any potential impact on the overall customer experience. Including options around Identity.</t>
  </si>
  <si>
    <t>036e5e6b-4bed-43d5-b354-7c1347dc5602</t>
  </si>
  <si>
    <t xml:space="preserve">Managed solutions require the customer to take on the responsibility for managing and maintaining the solution, while SaaS solutions are fully managed by the vendor or provider. </t>
  </si>
  <si>
    <t>8a71ffe1-cd15-4dd2-b0d5-e772d41e3611</t>
  </si>
  <si>
    <t xml:space="preserve">Solutions running in a subscription owned by a partner may have different levels of access and control compared to solutions running in a subscription owned by the customer. Understanding the ownership of the subscription can help determine the necessary level of security and compliance, as well as any potential regulatory requirements that need to be considered. </t>
  </si>
  <si>
    <t>cc57b4a4-b141-40d4-9958-a8c2289b3d6b</t>
  </si>
  <si>
    <t>Solutions that run in a customer subscription but are still managed by a partner require a clear division of responsibilities and access controls, as both the customer and the partner have varying levels of control and visibility into the solution.</t>
  </si>
  <si>
    <t>57cfc645-461e-41a3-b345-3a3c8639648b</t>
  </si>
  <si>
    <t>Understanding the billing requirements can help determine the necessary level of integration with existing billing and accounting systems, as well as any potential regulatory requirements that need to be considered. This information can also help plan for any necessary resources and personnel needed to implement and manage a billing solution for the solution.</t>
  </si>
  <si>
    <t>652d6c15-f502-4965-988e-6ded227dd142</t>
  </si>
  <si>
    <t>Solutions may use a subscription billing model, where customers pay a fixed fee for a set period of time, or a consumption billing model, where customers pay for the actual usage of the solution. This can effect the solution design.</t>
  </si>
  <si>
    <t>b06c21c7-999a-4646-b438-9a7f42c78e78</t>
  </si>
  <si>
    <t>Solutions that can be deployed and configured using automation can typically be done more quickly, with fewer manual steps and a lower risk of errors. Automating the deployment and configuration can also help ensure consistency and repeatability across multiple deployments.</t>
  </si>
  <si>
    <t>c06a73a2-1a49-456e-9a8d-c4a20e27b3e2</t>
  </si>
  <si>
    <t>Integration with Microsoft platforms can provide additional value and functionality, as well as a more seamless user experience for customers.</t>
  </si>
  <si>
    <t>d41e3611-cc57-4b4a-9b14-10d43958a8c2</t>
  </si>
  <si>
    <t>Authentication methods such as Single Sign-On (SSO) with OAuth2, OpenID Connect (OIDC), or Security Assertion Markup Language (SAML) provide a more secure and convenient way for users to access the solution. Understanding the authentication method can help determine the necessary level of integration with existing identity management systems and tools, as well as any potential impact on the overall user experience.</t>
  </si>
  <si>
    <t>289b3d6b-57cf-4c64-9461-e1a3e3453a3c</t>
  </si>
  <si>
    <t>Asking if the solution authenticates users with Azure AD is important in order to ensure secure access to the solution and integration with the centralized identity management provided by Azure Active Directory.</t>
  </si>
  <si>
    <t>8639648b-652d-46c1-9f50-2965388e6ded</t>
  </si>
  <si>
    <t>Asking if the solution is tailored for specific industries is important to determine if it meets the specific regulatory, compliance, and business requirements of those industries, ensuring that it can effectively meet the needs of its target market.</t>
  </si>
  <si>
    <t>227dd142-b06c-421c-9999-a646f4389a7f</t>
  </si>
  <si>
    <t>Asking about the retention policy is important to understand the duration for which data will be stored, and the procedures for deleting or archiving it. This helps ensure that sensitive information is managed and disposed of properly, and helps to meet regulatory and legal requirements for data storage.</t>
  </si>
  <si>
    <t>42c78e78-c06a-473a-81a4-956e6a8dc4a2</t>
  </si>
  <si>
    <t>Asking about the data backup process is important to ensure that the data is protected and can be recovered in the event of a disaster, system failure, or other data loss event. Having a reliable data backup process helps to minimize downtime and ensure the continuity of business operations.</t>
  </si>
  <si>
    <t>bad37ead-53cc-47ce-8d7a-aab3571449ab</t>
  </si>
  <si>
    <t>Data sharing is important to understand the restrictions and permissions for accessing and sharing data, and to ensure that sensitive information is properly protected. This helps to meet regulatory and legal requirements for data privacy and security, and to ensure that data is shared appropriately among authorized parties.</t>
  </si>
  <si>
    <t>8053d89e-89dc-47b3-9be2-a1a27f7a9e91</t>
  </si>
  <si>
    <t xml:space="preserve">The amount of data generated by the solution is important to understand the storage and processing requirements of the solution, and to ensure that the infrastructure can handle the volume of data generated. This helps to avoid performance and scalability issues, and to ensure that the solution can continue to operate efficiently over time. </t>
  </si>
  <si>
    <t>be1f38ce-f398-412b-b463-cbbac8ac199e</t>
  </si>
  <si>
    <t>Data segregation helps to prevent unauthorized access to sensitive information and to ensure that each customer's data is handled and managed appropriately. This is particularly important in industries where customer data must be protected by strict privacy regulations, such as healthcare or finance.</t>
  </si>
  <si>
    <t>bb91a33d-90ca-4e2c-a881-3706f7c0cb9f</t>
  </si>
  <si>
    <t>How data is accessed is important to understand the process for retrieving data, and to ensure that the solution provides a secure and user-friendly experience for accessing data. This includes considerations such as the method of access (e.g. web portal, API), the level of security and authentication required, and the types of data that can be accessed.</t>
  </si>
  <si>
    <t>e514648d-d457-4e92-9138-b820102cac6e</t>
  </si>
  <si>
    <t>The skill sets of staff is important to understand the resources and capabilities available for designing, developing, and maintaining the solution. This helps to ensure that the solution can be effectively implemented and managed, and that any necessary updates or changes can be made in a timely and effective manner</t>
  </si>
  <si>
    <t>ae01e6e8-42e5-42f4-921d-928c1b1bd521</t>
  </si>
  <si>
    <t xml:space="preserve">This helps to identify any potential data quality or availability issues, and to ensure that the solution can be effectively designed and developed using the available data. Understanding the data sets also helps to ensure that the solution is based on the most relevant and accurate information, and that any necessary data acquisition or preparation can be performed. </t>
  </si>
  <si>
    <t>e54a29a9-dd39-49cf-b7b2-8dc935556202</t>
  </si>
  <si>
    <t>Understanding the features and functionality supported by the AI helps to identify any potential limitations or challenges that may need to be addressed, and to ensure that the solution is delivering value to the business.</t>
  </si>
  <si>
    <t>bfe4563b-0d83-44a3-98b2-63e6dd60512a</t>
  </si>
  <si>
    <t>Understanding the current governance helps to identify any potential gaps or conflicts that may need to be addressed, and to ensure that the solution is being implemented in a secure and compliant manner.</t>
  </si>
  <si>
    <t>26498f6d-bad3-47ea-b53c-c7ce1d7aaab3</t>
  </si>
  <si>
    <t xml:space="preserve">It is important to understand the processes and controls for managing access to the solution, and to ensure that the solution is secure and protected from unauthorized access. </t>
  </si>
  <si>
    <t>571449ab-8053-4d89-b89d-c7b33be2a1a2</t>
  </si>
  <si>
    <t>is there specific periods (such as after business hours, during the weekend) where this solution could be turned off or scaled-down?</t>
  </si>
  <si>
    <t>Understanding the periods when the solution could be turned off or scaled-down helps to manage the costs of running the solution, as well as to minimize the impact on other systems and processes.</t>
  </si>
  <si>
    <t>18ca5017-0154-4e3b-a36a-3829e7f31618</t>
  </si>
  <si>
    <t>Are there any critical times of the month that are more important than others (such as the end of month processes)?</t>
  </si>
  <si>
    <t>Understanding the critical times of the month helps to manage the resources and capacity of the solution, as well as to minimize the impact on other systems and processes. This can also help in planning for any necessary upgrades or maintenance during non-critical times to ensure that the solution is always available when needed.</t>
  </si>
  <si>
    <t>3687a057-7a20-4994-9bda-43334f249116</t>
  </si>
  <si>
    <t>Asking who dictates the enforcement policy and how it is enacted is important to understand the processes and controls for enforcing the policies, and to ensure that the solution is being implemented in a manner that meets the needs of the business.</t>
  </si>
  <si>
    <t>7f7a9e91-be1f-438c-bf39-812bd463cbba</t>
  </si>
  <si>
    <t>Asking who dictates the audit policy and how it is enacted is important to understand the processes and controls for auditing the solution.</t>
  </si>
  <si>
    <t>c8ac199e-bb91-4a33-b90c-ae2cc8813706</t>
  </si>
  <si>
    <t>Asking about the environments (e.g. Dev/Test/Prod) is important to understand the deployment pipeline</t>
  </si>
  <si>
    <t>f7c0cb9f-e514-4648-bd45-7e927138b820</t>
  </si>
  <si>
    <t>How software artifacts are created is important to understand the development process, and to ensure that the solution is being implemented in a manner that meets the needs of the business.</t>
  </si>
  <si>
    <t>102cac6e-ae01-4e6e-a42e-52f4721d928c</t>
  </si>
  <si>
    <t>How software artifacts are deployed is important to understand the development process, and to ensure that the solution is being implemented in a manner that meets the needs of the business.</t>
  </si>
  <si>
    <t>1b1bd521-e54a-429a-add3-99cfd7b28dc9</t>
  </si>
  <si>
    <t>Industry or security frameworks (e.g. SOC, HIPAA, ISO, PCI, NZISM) is important to understand the compliance requirements</t>
  </si>
  <si>
    <t>35556202-bfe4-4563-a0d8-34a348b263e6</t>
  </si>
  <si>
    <t>Asking if the solution is subject to security audits is important to understand the processes and controls for auditing the solution.</t>
  </si>
  <si>
    <t>dd60512a-2649-48f6-bbad-37ead53cc7ce</t>
  </si>
  <si>
    <t>Asking about compliance requirements is important to understand the compliance requirements.</t>
  </si>
  <si>
    <t>1d7aaab3-5714-449a-a805-3d89e89dc7b3</t>
  </si>
  <si>
    <t>Asking how compliance is tracked is important to understand the processes and controls for tracking compliance.</t>
  </si>
  <si>
    <t>3be2a1a2-7f7a-49e9-8be1-f38cef39812b</t>
  </si>
  <si>
    <t>Who is responsible for system compliance is important to understand the responsibilities and processes for ensuring compliance.</t>
  </si>
  <si>
    <t>d463cbba-c8ac-4199-bbb9-1a33d90cae2c</t>
  </si>
  <si>
    <t>How does your application get promoted to Staging? Production?</t>
  </si>
  <si>
    <t>The process for promoting the application to Staging and Production is important to understand the deployment pipeline.</t>
  </si>
  <si>
    <t>c8813706-f7c0-4cb9-be51-4648dd457e92</t>
  </si>
  <si>
    <t>How often do you release?</t>
  </si>
  <si>
    <t>Asking about the release cycle is important to understand the deployment pipeline and release management.</t>
  </si>
  <si>
    <t>7138b820-102c-4ac6-bae0-1e6e842e52f4</t>
  </si>
  <si>
    <t>What tools are used to manage software development?</t>
  </si>
  <si>
    <t>To understand the tools used to manage software development and ensure compatibility with Azure.</t>
  </si>
  <si>
    <t>721d928c-1b1b-4d52-8e54-a29a9dd399cf</t>
  </si>
  <si>
    <t>What development methodology is in use?</t>
  </si>
  <si>
    <t>To understand the development methodology and ensure it aligns with Azure capabilities.</t>
  </si>
  <si>
    <t>d7b28dc9-3555-4620-8bfe-4563b0d834a3</t>
  </si>
  <si>
    <t>Do you use CI/CD?</t>
  </si>
  <si>
    <t>To understand if a continuous integration and delivery process is in place and if it can be utilized in Azure.</t>
  </si>
  <si>
    <t>48b263e6-dd60-4512-a264-98f6dbad37ea</t>
  </si>
  <si>
    <t>What are you using for source control?</t>
  </si>
  <si>
    <t>To understand the source control system in place and if it can be integrated with Azure.</t>
  </si>
  <si>
    <t>d53cc7ce-1d7a-4aab-9571-449ab8053d89</t>
  </si>
  <si>
    <t>What level of automation currently exists in your development process?</t>
  </si>
  <si>
    <t>To understand the current automation level and identify areas for improvement in Azure.</t>
  </si>
  <si>
    <t>e89dc7b3-3be2-4a1a-87f7-a9e91be1f38c</t>
  </si>
  <si>
    <t>How do AppDev and Test teams verify features?</t>
  </si>
  <si>
    <t>To understand the verification process and ensure it can be integrated with Azure.</t>
  </si>
  <si>
    <t>ef39812b-d463-4cbb-ac8a-c199ebb91a33</t>
  </si>
  <si>
    <t>What non-production environments do you have? Are they customer-specific?</t>
  </si>
  <si>
    <t>To understand the non-production environments.</t>
  </si>
  <si>
    <t>d90cae2c-c881-4370-9f7c-0cb9fe514648</t>
  </si>
  <si>
    <t>How to you track configuration for the environments?</t>
  </si>
  <si>
    <t>To understand the configuration tracking process.</t>
  </si>
  <si>
    <t>dd457e92-7138-4b82-8102-cac6eae01e6e</t>
  </si>
  <si>
    <t>Is there an approval system for change?</t>
  </si>
  <si>
    <t>To understand the change approval process and ensure it aligns with Azure capabilities.</t>
  </si>
  <si>
    <t>842e52f4-721d-4928-a1b1-bd521e54a29a</t>
  </si>
  <si>
    <t>How do you document production changes?</t>
  </si>
  <si>
    <t>To understand the documentation process for production changes.</t>
  </si>
  <si>
    <t>9dd399cf-d7b2-48dc-a355-56202bfe4563</t>
  </si>
  <si>
    <t>What is your release cycle? (e.g. 1/mo, every merged PR)</t>
  </si>
  <si>
    <t>To understand the release cycle .</t>
  </si>
  <si>
    <t>b0d834a3-48b2-463e-9dd6-0512a26498f6</t>
  </si>
  <si>
    <t>Infrastructure</t>
  </si>
  <si>
    <t>Networking</t>
  </si>
  <si>
    <t>What external services does the system connect to? (e.g. On-Prem DB, other cloud, etc.)</t>
  </si>
  <si>
    <t>To determine the required network connectivity between different services, and if the data transmission is secure.</t>
  </si>
  <si>
    <t>dbad37ea-d53c-4c7c-b1d7-aaab3571449a</t>
  </si>
  <si>
    <t>How do users interact and connect with the system? (e.g. User will VPN in and access web console)</t>
  </si>
  <si>
    <t>To determine the user authentication and authorization method and the network accessibility.</t>
  </si>
  <si>
    <t>b8053d89-e89d-4c7b-93be-2a1a27f7a9e9</t>
  </si>
  <si>
    <t>Is access to the system public or locked down? (If locked down, how so? (e.g. VPN + AAD))</t>
  </si>
  <si>
    <t>To understand the security requirements and the level of access control.</t>
  </si>
  <si>
    <t>1be1f38c-ef39-4812-ad46-3cbbac8ac199</t>
  </si>
  <si>
    <t>Is there any specific routing required? (e.g. All ingress/egress traffic must go through X)</t>
  </si>
  <si>
    <t>To understand the routing requirements and the flow of the network traffic.</t>
  </si>
  <si>
    <t>ebb91a33-d90c-4ae2-ac88-13706f7c0cb9</t>
  </si>
  <si>
    <t>What Access Control Lists (ACL's) are required? (e.g. whitelist by IP, Blacklist by IP)</t>
  </si>
  <si>
    <t>To determine the network security rules and the level of control for network traffic.</t>
  </si>
  <si>
    <t>fe514648-dd45-47e9-8713-8b820102cac6</t>
  </si>
  <si>
    <t>What is the expected traffic volume? traffic pattern?</t>
  </si>
  <si>
    <t>To understand the network load and determine the required network capacity and availability.</t>
  </si>
  <si>
    <t>b7bcdb3b-51eb-42eb-83ed-a6e59d7d8a2e</t>
  </si>
  <si>
    <t>What are the on-prem requirements? (e.g. 1G u/d connection on-prem DC)</t>
  </si>
  <si>
    <t xml:space="preserve"> To understand the network connectivity between on-premises and Azure, and to determine the required network bandwidth and quality.</t>
  </si>
  <si>
    <t>db117d67-6aaf-4669-aa48-e5a95f2223ec</t>
  </si>
  <si>
    <t>Compute</t>
  </si>
  <si>
    <t>Will the system run in containers and/or Kubernetes?</t>
  </si>
  <si>
    <t>This question is important to ask when designing a solution on Azure as it will determine the most efficient and scalable deployment option for the application.</t>
  </si>
  <si>
    <t>e8cb1230-8ca5-4017-b158-e3eb3a93c2de</t>
  </si>
  <si>
    <t>What are the application bottlenecks? (e.g. CPU, Memory, etc.)</t>
  </si>
  <si>
    <t>Identifying the application bottlenecks is critical to ensure that the solution is able to handle the expected workload and deliver the desired performance. By understanding the resource constraints, you can make informed decisions on the scaling and configuration of your Azure resources.</t>
  </si>
  <si>
    <t>7e3165c3-a87a-404b-9a20-9949bda47778</t>
  </si>
  <si>
    <t>Storage</t>
  </si>
  <si>
    <t>How does the system persist data? (e.g. user data is stored in MySQL, media files stored in blob)</t>
  </si>
  <si>
    <t>This question is important to ask when designing a solution on Azure as it will determine the most appropriate storage options to ensure the data is secure, highly available, and easily retrievable.</t>
  </si>
  <si>
    <t>f24d1167-85c2-4fa5-9b56-a948008be7d7</t>
  </si>
  <si>
    <t>What format is the data in? (e.g. images, 1000's of media files)</t>
  </si>
  <si>
    <t>Knowing the format of the data will help determine the most appropriate storage options and the methods for efficiently retrieving and processing the data.</t>
  </si>
  <si>
    <t>e4c476b6-d8bd-4c05-abcf-65de8a13f988</t>
  </si>
  <si>
    <t>What are the data volume requirements (e.g. 1GB of MySQL data, 1TB of blob storage)</t>
  </si>
  <si>
    <t xml:space="preserve">Understanding the data volume requirements is crucial for determining the storage capacity needed to accommodate the data and to ensure that the solution can scale as needed to meet future data growth. </t>
  </si>
  <si>
    <t>79469d66-a886-4d70-ba6c-97be9955d04c</t>
  </si>
  <si>
    <t>IoT</t>
  </si>
  <si>
    <t>Does this solution require any special hardware (i.e., barcode scanners, licensing USB dongles, mobile phones, sensors)?</t>
  </si>
  <si>
    <t>Asking this question is important to ensure that the solution design takes into account any specific hardware requirements.</t>
  </si>
  <si>
    <t>785d6fe9-6c96-4ad8-a44c-f3b2b38c886b</t>
  </si>
  <si>
    <t>How are the IoT devices deployed?</t>
  </si>
  <si>
    <t>Knowing the deployment method of IoT devices is crucial for ensuring that the devices can communicate with the solution and be securely managed.vvv</t>
  </si>
  <si>
    <t>3c49c986-cb2d-4131-9aa1-24b6e4df585e</t>
  </si>
  <si>
    <t>How are the IoT devices maintained and upgraded?</t>
  </si>
  <si>
    <t>It is important to understand the maintenance and upgrade process for IoT devices in order to ensure that the devices remain secure and functional</t>
  </si>
  <si>
    <t>cdce9793-b7bc-4db3-a51e-b2eb03eda6e5</t>
  </si>
  <si>
    <t>What central repository are the IoT devices reporting to?</t>
  </si>
  <si>
    <t>Determining the central repository for IoT devices will help to ensure that the devices can securely and efficiently report data to the solution.</t>
  </si>
  <si>
    <t>9d7d8a2e-db11-47d6-96aa-f669ca48e5a9</t>
  </si>
  <si>
    <t>Do you use Digital Twins?</t>
  </si>
  <si>
    <t>Asking about the use of Digital Twins is important because it can inform the design of the solution by helping to understand how IoT devices are represented and managed in the solution.</t>
  </si>
  <si>
    <t>5f2223ec-e8cb-4123-88ca-5017f158e3eb</t>
  </si>
  <si>
    <t>Third-party</t>
  </si>
  <si>
    <t>What 3rd party systems does your system integreate with? (e.g. SMTP, MongoDB)</t>
  </si>
  <si>
    <t xml:space="preserve">Asking about 3rd party system integrations is important because it helps to understand the scope of the solution and the dependencies on external systems. </t>
  </si>
  <si>
    <t>3a93c2de-7e31-465c-9a87-a04b7a209949</t>
  </si>
  <si>
    <t>How do you plan to manage these 3rd party systems?</t>
  </si>
  <si>
    <t>Determining the management plan for 3rd party systems is important for ensuring that the integrations are secure, efficient, and that any changes to the systems are effectively managed.</t>
  </si>
  <si>
    <t>bda47778-f24d-4116-985c-2fa55b56a948</t>
  </si>
  <si>
    <t>What Microsoft/Azure SaaS offerings do you plan to use? (e.g. Cognitive Services, etc.)</t>
  </si>
  <si>
    <t>Asking about the use of Microsoft/Azure SaaS offerings is important because it helps to understand the desired capabilities and services that the solution will leverage</t>
  </si>
  <si>
    <t>008be7d7-e4c4-476b-9d8b-dc059bcf65de</t>
  </si>
  <si>
    <t>Platform</t>
  </si>
  <si>
    <t>What OS can the system run on?</t>
  </si>
  <si>
    <t>Asking about the OS requirement is important because it helps to determine the appropriate infrastructure to host the solution and ensure compatibility with the underlying technology stack.</t>
  </si>
  <si>
    <t>8a13f988-7946-49d6-9a88-6d70fa6c97be</t>
  </si>
  <si>
    <t>How do plan to manage updates when there's a critical security update?</t>
  </si>
  <si>
    <t>Determining the update management plan is crucial for ensuring that the solution remains secure and up-to-date with the latest security patches.</t>
  </si>
  <si>
    <t>9955d04c-3c49-4c98-9cb2-d1315aa124b6</t>
  </si>
  <si>
    <t>What is your build system?</t>
  </si>
  <si>
    <t>Knowing the build system is important for understanding the development process and the tools used to build and package the solution.</t>
  </si>
  <si>
    <t>e4df585e-cdce-4979-9b7b-cdb3b51eb2eb</t>
  </si>
  <si>
    <t>How often do you build new executable artifacts?</t>
  </si>
  <si>
    <t>Asking about the build frequency helps to understand the development process and the schedule for building and deploying new versions of the solution.</t>
  </si>
  <si>
    <t>03eda6e5-9d7d-48a2-bdb1-17d676aaf669</t>
  </si>
  <si>
    <t>How often do you deploy new executable artifacts?</t>
  </si>
  <si>
    <t>Asking about the deployment frequency helps to understand the development process and the schedule for deploying new versions of the solution.</t>
  </si>
  <si>
    <t>ca48e5a9-5f22-423e-ae8c-b12308ca5017</t>
  </si>
  <si>
    <t>Roadmap</t>
  </si>
  <si>
    <t>Is this a greenfield or brownfield app?</t>
  </si>
  <si>
    <t>Knowing if the app is greenfield or brownfield is important for understanding the existing infrastructure and codebase, which can affect the design and development of the solution.</t>
  </si>
  <si>
    <t>f158e3eb-3a93-4c2d-b7e3-165c3a87a04b</t>
  </si>
  <si>
    <t>What optimizations do you foresee?</t>
  </si>
  <si>
    <t>Asking about optimizations helps to understand the desired performance characteristics and any specific optimization requirements for the solution.</t>
  </si>
  <si>
    <t>7a209949-bda4-4777-af24-d116785c2fa5</t>
  </si>
  <si>
    <t>What are your highest technical priorities?</t>
  </si>
  <si>
    <t>Asking about technical priorities helps to understand the desired capabilities and features of the solution and to prioritize the development efforts accordingly.</t>
  </si>
  <si>
    <t>5b56a948-008b-4e7d-9e4c-476b6d8bdc05</t>
  </si>
  <si>
    <t>Microservices</t>
  </si>
  <si>
    <t>Containers</t>
  </si>
  <si>
    <t>What OS does the service run on?</t>
  </si>
  <si>
    <t>9bcf65de-8a13-4f98-a794-69d66a886d70</t>
  </si>
  <si>
    <t>How do user's interact with the application? (e.g. Browser, RDC, Run on Desktop, etc.)</t>
  </si>
  <si>
    <t>Asking about user interaction helps to understand the desired user experience and the interface for accessing the solution.</t>
  </si>
  <si>
    <t>fa6c97be-9955-4d04-a3c4-9c986cb2d131</t>
  </si>
  <si>
    <t>How are you storing your code? (e.g. VSTS, TFS, GitLab, etc.)</t>
  </si>
  <si>
    <t>Asking about the code repository structure helps to understand the organization of the codebase and the relationship between different components of the solution.</t>
  </si>
  <si>
    <t>5aa124b6-e4df-4585-bcdc-e9793b7bcdb3</t>
  </si>
  <si>
    <t>Do you have one repository per code base?</t>
  </si>
  <si>
    <t>This question is to understand if the are able to build/deploiy their services separately.</t>
  </si>
  <si>
    <t>b51eb2eb-03ed-4a6e-99d7-d8a2edb117d6</t>
  </si>
  <si>
    <t>Do you deploy your UI separately from your API?</t>
  </si>
  <si>
    <t>Asking about the deployment of the UI and API separately helps to understand the deployment process and the relationship between the different components of the solution.</t>
  </si>
  <si>
    <t>76aaf669-ca48-4e5a-a5f2-223ece8cb123</t>
  </si>
  <si>
    <t>What are your deployment artifacts? (e.g. Java WAR, .EXE, Container)</t>
  </si>
  <si>
    <t>Asking about the deployment artifacts helps to understand the technology stack and the format of the components being deployed in the solution.</t>
  </si>
  <si>
    <t>b4861bc3-bc14-4aea-9e65-e8d9a3aec218</t>
  </si>
  <si>
    <t>What languages are used? (e.g. C#, PHP, Python)</t>
  </si>
  <si>
    <t xml:space="preserve">Asking about the programming languages used is important because it helps to determine the appropriate infrastructure to host the solution, ensure compatibility with the underlying technology stack, and determine the availability of resources such as libraries and tools for the chosen language. </t>
  </si>
  <si>
    <t>e6436b07-36db-455f-9796-03334bdf9cc2</t>
  </si>
  <si>
    <t>Config</t>
  </si>
  <si>
    <t>How/Where does the application read it's config?</t>
  </si>
  <si>
    <t>Asking about the generation of the configuration helps to understand the development process, the tools used to manage the configuration, and the relationship between the configuration and the codebase.</t>
  </si>
  <si>
    <t>3418db61-2712-4650-9bb4-7a393a080327</t>
  </si>
  <si>
    <t>How do you generate your config?</t>
  </si>
  <si>
    <t>Asking about the update process for the configuration helps to understand the deployment process, the tools used to manage the configuration, and the relationship between the configuration and the codebase.</t>
  </si>
  <si>
    <t>294798b1-578b-4219-a46c-eb5443512592</t>
  </si>
  <si>
    <t>How do you update config on your application?</t>
  </si>
  <si>
    <t>2644293b-b628-4537-a551-19bf8e8f5854</t>
  </si>
  <si>
    <t>Could you Open Source your application without exposing credentials?</t>
  </si>
  <si>
    <t>Asking about open sourcing the application helps to understand the security and privacy considerations of the solution, the measures taken to protect sensitive information, and the potential impact of open sourcing on the solution.</t>
  </si>
  <si>
    <t>287d9cec-166c-4d07-8af9-b141a898a535</t>
  </si>
  <si>
    <t>Application</t>
  </si>
  <si>
    <t>Do the processes store any state?</t>
  </si>
  <si>
    <t>Determine whether the application stores any state, which is important for designing a stateless or stateful architecture.</t>
  </si>
  <si>
    <t>e737897e-71ca-47da-acea-962a1593946d</t>
  </si>
  <si>
    <t>Do they need to support 'sticky sessions'?</t>
  </si>
  <si>
    <t>Determine if the application requires sticky sessions, which is important for designing a load-balancing and auto-scaling architecture.</t>
  </si>
  <si>
    <t>a97cc392-3266-4b22-986f-4a1651bdddea</t>
  </si>
  <si>
    <t>Do they share memory with other processes?</t>
  </si>
  <si>
    <t>Determine if the application shares memory with other processes, which is important for designing a containerized or VM-based architecture.</t>
  </si>
  <si>
    <t>8a487cde-b486-41bc-9bc1-4aea7e65e8d9</t>
  </si>
  <si>
    <t>Exposure</t>
  </si>
  <si>
    <t>What ports are exposed enternally? (Are these exposed to the public internet?)</t>
  </si>
  <si>
    <t>Determine which ports are exposed externally and whether they are exposed to the public internet, which is important for designing a secure architecture and implementing network security controls.</t>
  </si>
  <si>
    <t>a3aec218-e643-46b0-936d-b55f57960333</t>
  </si>
  <si>
    <t>What security needs to be in place for these services? (e.g. SSL, WAF, etc.)</t>
  </si>
  <si>
    <t>Determine what security measures need to be in place for the application, such as SSL/TLS encryption, Web Application Firewall (WAF), or network security groups, which is important for designing a secure architecture that meets compliance requirements.</t>
  </si>
  <si>
    <t>4bdf9cc2-3418-4db6-8271-26504bb47a39</t>
  </si>
  <si>
    <t>What ports are exposed internally?</t>
  </si>
  <si>
    <t>Determine which ports are exposed internally, which is important for designing a secure architecture and implementing network security controls.</t>
  </si>
  <si>
    <t>3a080327-2947-498b-8578-b219a46ceb54</t>
  </si>
  <si>
    <t>How do you scale processes?</t>
  </si>
  <si>
    <t>The question is asked to determine how the application scales and to identify the appropriate scaling mechanism, such as auto-scaling or manual scaling.</t>
  </si>
  <si>
    <t>43512592-2644-4293-ab62-8537a55119bf</t>
  </si>
  <si>
    <t>Can you scale those processes independently?</t>
  </si>
  <si>
    <t>The question is asked to determine if the application processes can be scaled independently, which is important for designing a flexible and cost-effective architecture that can handle varying workloads.</t>
  </si>
  <si>
    <t>8e8f5854-287d-49ce-a166-cd072af9b141</t>
  </si>
  <si>
    <t>What's the impact if the process dies unexpectedly?</t>
  </si>
  <si>
    <t>The question is asked to determine the impact of unexpected process failure and to identify the appropriate resiliency mechanisms, such as redundancy, fault tolerance, or failover, to ensure high availability and minimize downtime.</t>
  </si>
  <si>
    <t>a898a535-e737-4897-b71c-a7da8cea962a</t>
  </si>
  <si>
    <t>What is the process start time?</t>
  </si>
  <si>
    <t>The question is asked to determine the process start time, which is important for analyzing performance metrics and identifying any issues related to startup time.</t>
  </si>
  <si>
    <t>1593946d-a97c-4c39-8326-6b22586f4a16</t>
  </si>
  <si>
    <t>Are there background jobs?</t>
  </si>
  <si>
    <t>The question is asked to determine if the application includes background jobs or scheduled tasks, which is important for designing a monitoring solution that tracks job performance and alerts on failures.</t>
  </si>
  <si>
    <t>51bdddea-8a48-47cd-bb48-61bc3bc14aea</t>
  </si>
  <si>
    <t>Are the jobs re-enterant? (can be interrupted during exe and restarted safely)</t>
  </si>
  <si>
    <t>The question is asked to determine if the background jobs are re-entrant, which is important for designing a monitoring solution that ensures job continuity and prevents data corruption in case of job interruption.</t>
  </si>
  <si>
    <t>7e65e8d9-a3ae-4c21-ae64-36b0736db55f</t>
  </si>
  <si>
    <t>Are the jobs idempotent?</t>
  </si>
  <si>
    <t>The question is asked to determine if the background jobs are idempotent, which is important for designing a monitoring solution that prevents job duplication and ensures data integrity.</t>
  </si>
  <si>
    <t>57960333-4bdf-49cc-8341-8db612712650</t>
  </si>
  <si>
    <t>How do you pinpoint the source of the outage?</t>
  </si>
  <si>
    <t>The question is asked to determine how to pinpoint the source of an outage, which is important for designing a monitoring solution that collects and correlates logs, metrics, and events from multiple sources, to provide insights into the root cause of an issue.</t>
  </si>
  <si>
    <t>4bb47a39-3a08-4032-9294-798b1578b219</t>
  </si>
  <si>
    <t xml:space="preserve">What is the expected traffic volume/pattern? </t>
  </si>
  <si>
    <t>The question is asked to determine the expected traffic and types of traffic that the solution will have, to assist with the design and depedencies.</t>
  </si>
  <si>
    <t>a46ceb54-4351-4259-8264-4293bb628537</t>
  </si>
  <si>
    <t>What are your pod security policy requirements?</t>
  </si>
  <si>
    <t>a55119bf-8e8f-4585-9287-d9cec166cd07</t>
  </si>
  <si>
    <t>What are your access control policy requirements?</t>
  </si>
  <si>
    <t>2af9b141-a898-4a53-9e73-7897e71ca7da</t>
  </si>
  <si>
    <t>What are the High Availability/Business Continuity/Disaster Recovery requirements?</t>
  </si>
  <si>
    <t>8cea962a-1593-4946-ba97-cc3923266b22</t>
  </si>
  <si>
    <t>Is the service capable of load balancing across instances?</t>
  </si>
  <si>
    <t>253c17d3-1d8a-4aab-9571-549ab8153d89</t>
  </si>
  <si>
    <t>Is the service capable of load balancing across regions?</t>
  </si>
  <si>
    <t>f89d17b7-3b32-4b5a-97f7-b9ed5b31f38c</t>
  </si>
  <si>
    <t>Do you gracefully drain off traffic when upgrading?</t>
  </si>
  <si>
    <t>403a822c-2463-4cf0-b18a-c699ef1d5a83</t>
  </si>
  <si>
    <t>dd4de32c-1881-4470-9f7c-5c0e4e614658</t>
  </si>
  <si>
    <t>d2457ed6-7139-4b82-8102-ce26ee311e6e</t>
  </si>
  <si>
    <t>How do you know if your system stops meeting it's external SLA?</t>
  </si>
  <si>
    <t>883e52f4-722d-4d68-a5b5-c2521e54a69a</t>
  </si>
  <si>
    <t>How do you know if your system stops serving?</t>
  </si>
  <si>
    <t>9d339ac4-e7c6-48d1-b756-57202b4f4564</t>
  </si>
  <si>
    <t>How do you know if your system is serving corrupt or inaccurate data?</t>
  </si>
  <si>
    <t>b4d974a7-48b6-463e-9d26-0513a7649906</t>
  </si>
  <si>
    <t>e0e238ee-253c-417d-91d8-aaab7571549a</t>
  </si>
  <si>
    <t>b8153d89-f89d-417b-93b3-2b5a67f7b9ed</t>
  </si>
  <si>
    <t>5b31f38c-403a-4822-a246-3cf0f18ac699</t>
  </si>
  <si>
    <t>ef1d5a83-dd4d-4e32-a188-14706f7c5c0e</t>
  </si>
  <si>
    <t>To determine if the application needs to support multiple customers or tenants, and how to architect the solution to ensure data isolation and security.</t>
  </si>
  <si>
    <t>4e614658-d245-47ed-9713-9b821102ce26</t>
  </si>
  <si>
    <t>To understand if the application will be deployed in a hybrid environment with a mix of on-premises and cloud-based resources, and how to architect the solution to ensure seamless integration and connectivity between the two.</t>
  </si>
  <si>
    <t>1e54a69a-9d33-49ac-9e7c-68d1d7565720</t>
  </si>
  <si>
    <t>To determine the expected level of availability and reliability of the application on Azure and ensure it meets business requirements.</t>
  </si>
  <si>
    <t>2b4f4564-b4d9-474a-948b-663e7d260513</t>
  </si>
  <si>
    <t>To identify potential points of failure and ensure appropriate measures are in place to mitigate them, such as redundancy or failover mechanisms.</t>
  </si>
  <si>
    <t>a7649906-e0e2-438e-b253-c17d31d8aaab</t>
  </si>
  <si>
    <t>To understand what built-in mechanisms Azure offers for achieving high availability, such as load balancing, auto-scaling, and fault-tolerant storage, and how they can be leveraged in the application architecture.</t>
  </si>
  <si>
    <t>7571549a-b815-43d8-af89-d17b73b32b5a</t>
  </si>
  <si>
    <t>Do you have any continuity plans (ie manual processes) in the event the solution fails?</t>
  </si>
  <si>
    <t>Ensure that manual processes are in place to maintain operations in the event of solution failure, while the functional requirement is to ensure that these plans are tested and validated.</t>
  </si>
  <si>
    <t>4b69bad3-39ad-44e7-a68e-1d76657303b4</t>
  </si>
  <si>
    <t>Ensure that the solution's recovery time objective (RTO) and recovery point objective (RPO) are defined and met, respectively, in the event of a disaster.</t>
  </si>
  <si>
    <t>67f7b9ed-5b31-4f38-a403-a822c2463cf0</t>
  </si>
  <si>
    <t>Ensure that the solution's criticality is understood and documented, while the functional requirement is to ensure that the DR plan is tailored to the solution's business-criticality.</t>
  </si>
  <si>
    <t>f18ac699-ef1d-45a8-9dd4-de32c1881470</t>
  </si>
  <si>
    <t>Understand the geographic regions that need to be deployed, while the functional requirement is to ensure that the DR plan accounts for the specific deployment regions.</t>
  </si>
  <si>
    <t>6f7c5c0e-4e61-4465-ad24-57ed67139b82</t>
  </si>
  <si>
    <t>Understand the production requirements necessary for the DR solution, while the functional requirement is to ensure that the DR solution meets these requirements.</t>
  </si>
  <si>
    <t>1102ce26-ee31-41e6-b883-e52f4722dd68</t>
  </si>
  <si>
    <t>Understand how users access the service, while the functional requirement is to ensure that the DR plan accounts for these access methods.</t>
  </si>
  <si>
    <t>c5b5c252-1e54-4a69-a9d3-39ac4e7c68d1</t>
  </si>
  <si>
    <t>Understand if an existing DR plan exists, while the functional requirement is to ensure that the DR plan is updated and tested regularly.</t>
  </si>
  <si>
    <t>931213db-d7fb-4012-b709-53f6304722ea</t>
  </si>
  <si>
    <t>Understand how DR testing is performed, while the functional requirement is to ensure that the DR testing is performed regularly to validate the DR plan.</t>
  </si>
  <si>
    <t>39d2b1ce-6320-455b-8aba-de4aad1e8c39</t>
  </si>
  <si>
    <t>You would ask about the normal and peak traffic volumes to understand the resource requirements of the solution and to determine the scale-out requirements, such as the amount of CPU, memory, or network bandwidth that is needed to handle the expected traffic.</t>
  </si>
  <si>
    <t>ec946667-313c-4105-974c-1e945b459c37</t>
  </si>
  <si>
    <t>You would ask about the bottleneck that causes the need to scale to understand the performance limitations of the solution and to determine the key resources that need to be monitored in order to proactively manage the solution's performance and scalability.</t>
  </si>
  <si>
    <t>3f7ed716-23b3-475a-a17e-cbe48fbe64dd</t>
  </si>
  <si>
    <t>You would ask about leading indicators to help you scale to understand how the solution will behave under different load conditions and to determine the metrics that need to be monitored in order to proactively manage the solution's performance and scalability. This information can be used to inform the design of the monitoring and scaling components and to ensure that the solution can be effectively managed in real-time.</t>
  </si>
  <si>
    <t>8df2e8bb-bc46-4825-9abc-9164e9909aed</t>
  </si>
  <si>
    <t>8c44cf3b-2b38-418b-afa2-c02149d014a9</t>
  </si>
  <si>
    <t>You would ask about upcoming events that may cause growth or traffic spikes to understand the potential resource requirements of the solution and to determine if there are any specific scale-out requirements that need to be addressed.</t>
  </si>
  <si>
    <t>23ce574d-ccbd-48ad-8aae-cca2b44ea1db</t>
  </si>
  <si>
    <t>You would ask if the application is written as microservices or a monolith and if the components can be deployed as separate services to understand the modularity and scalability of the solution and to determine if there are any specific requirements for deployment or scaling.</t>
  </si>
  <si>
    <t>f3dd9924-8171-48d1-bca1-f625659ee568</t>
  </si>
  <si>
    <t>You would ask about closely coupled systems that must also scale or will be impacted when the solution scales up to understand if there are any interdependencies or potential bottlenecks that need to be addressed in the design and implementation of the solution.</t>
  </si>
  <si>
    <t>0a38249c-9312-413d-ad7f-b012f70953f6</t>
  </si>
  <si>
    <t>You would ask about the biggest threat vectors to understand the potential security risks and threats to the solution being built, and use this information to inform the design and implementation of security measures.</t>
  </si>
  <si>
    <t>304722ea-39d2-4b1c-b632-055b2abade4a</t>
  </si>
  <si>
    <t>You would ask about the need for a firewall and egress/ingress restrictions to determine if there are any specific network security requirements that need to be implemented, such as blocking certain types of incoming or outgoing traffic.</t>
  </si>
  <si>
    <t>ad1e8c39-ec94-4666-9313-c105674c1e94</t>
  </si>
  <si>
    <t>You would ask about any regulatory or organizational mandates or policies to understand if the solution being built must comply with any specific regulations or policies, such as data privacy laws or industry standards, and use this information to inform the design and implementation of the solution.</t>
  </si>
  <si>
    <t>5b459c37-3f7e-4d71-923b-375a917ecbe4</t>
  </si>
  <si>
    <t>You would ask if you need to support identities from identity providers external to Azure Active Directory because if you have users who are already using a different identity provider, such as Google or Facebook, you may need to integrate that into your solution.</t>
  </si>
  <si>
    <t>8fbe64dd-8df2-4e8b-abc4-68255abc9164</t>
  </si>
  <si>
    <t>You would ask if you need to share your apps and resources with external users to determine if there are any requirements for B2B collaboration and if you need to implement any mechanisms to allow for this.</t>
  </si>
  <si>
    <t>e9909aed-8c44-4cf3-a2b3-818bafa2c021</t>
  </si>
  <si>
    <t>You would ask if you need to build user journeys with a white-label identity management solution for consumer- and customer-facing apps to understand if there are any requirements for a branded, custom user experience for end users.</t>
  </si>
  <si>
    <t>49d014a9-23ce-4574-bccb-d8ad2aaecca2</t>
  </si>
  <si>
    <t>You would ask what the current authentication method is to understand if there are any existing systems or processes in place that will need to be integrated into the Azure solution.</t>
  </si>
  <si>
    <t>b44ea1db-f3dd-4992-9817-18d1dca1f625</t>
  </si>
  <si>
    <t>You would ask what is currently being used to authorize user/group/service access to determine if there are any existing access control mechanisms that will need to be integrated into the Azure solution.</t>
  </si>
  <si>
    <t>659ee568-0a38-4249-a931-213dbd7fb012</t>
  </si>
  <si>
    <t>This question is important to ensure that the solution is designed with appropriate security controls and meets any compliance requirements.</t>
  </si>
  <si>
    <t>This question helps to determine who should have access to the solution and its resources, and what level of access is required for each user or group.</t>
  </si>
  <si>
    <t>This question helps to determine the level of resilience required for the solution to ensure that it can continue to operate in the event of any disruptions or failures.</t>
  </si>
  <si>
    <t>This question is important to ensure that the solution is designed for scalability and can handle increased traffic by distributing it across multiple instances.</t>
  </si>
  <si>
    <t>This question is important to ensure that the solution can handle traffic from different geographic locations by distributing it to the nearest instance.</t>
  </si>
  <si>
    <t>This question is important to ensure that the solution can be upgraded or updated without causing disruptions to users, by gradually redirecting traffic away from the instance being updated.</t>
  </si>
  <si>
    <t>This question is important to understand what monitoring tools and services are already in place and what additional solutions may be needed to monitor the Azure-based solution.</t>
  </si>
  <si>
    <t>This question helps to identify the key performance metrics that need to be monitored to ensure that the solution is meeting its performance objectives and meeting SLA requirements.</t>
  </si>
  <si>
    <t xml:space="preserve"> This question helps to identify how external SLA breaches will be identified, monitored and managed, including notification and response procedures.</t>
  </si>
  <si>
    <t xml:space="preserve"> This question helps to identify the appropriate monitoring tools and alerts needed to detect if the system stops serving and to take appropriate actions to restore service.</t>
  </si>
  <si>
    <t>This question is important to ensure that the solution is designed with appropriate data integrity controls, including data validation and error handling mechanisms, to prevent corrupt or inaccurate data from being served to users.</t>
  </si>
  <si>
    <t>This question helps to identify the different layers of the solution that need to be monitored for potential issues, including network performance, platform availability, application performance, and user experience.</t>
  </si>
  <si>
    <t>This question is important to ensure that logging is properly configured and aggregated in a centralized location to facilitate troubleshooting and monitoring of the system.</t>
  </si>
  <si>
    <t>This question helps to identify the appropriate monitoring tools and alerts needed to detect and respond to service problems, including application errors, performance issues, and downtime.</t>
  </si>
  <si>
    <t>This question helps to ensure that the right stakeholders are notified promptly when the system experiences issues or disruptions, and that appropriate response and escalation procedures are in place to minimize the impact on users.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</si>
</sst>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 %"/>
  </numFmts>
  <fonts count="25">
    <font>
      <sz val="11"/>
      <color theme="1"/>
      <name val="Calibri"/>
      <family val="2"/>
      <scheme val="minor"/>
    </font>
    <font>
      <u/>
      <sz val="11"/>
      <color theme="10"/>
      <name val="Calibri"/>
      <family val="2"/>
      <scheme val="minor"/>
    </font>
    <font>
      <sz val="11"/>
      <color theme="1"/>
      <name val="Calibri"/>
      <family val="2"/>
      <scheme val="minor"/>
    </font>
    <font>
      <sz val="11"/>
      <color theme="1"/>
      <name val="Segoe UI"/>
      <family val="2"/>
    </font>
    <font>
      <sz val="16"/>
      <color theme="0"/>
      <name val="Segoe UI Semibold"/>
      <family val="2"/>
    </font>
    <font>
      <b/>
      <sz val="11"/>
      <color theme="1"/>
      <name val="Segoe UI"/>
      <family val="2"/>
    </font>
    <font>
      <sz val="28"/>
      <color rgb="FF0078D4"/>
      <name val="Segoe UI Semibold"/>
      <family val="2"/>
    </font>
    <font>
      <b/>
      <sz val="11"/>
      <color theme="1"/>
      <name val="Calibri"/>
      <family val="2"/>
      <scheme val="minor"/>
    </font>
    <font>
      <sz val="11"/>
      <color theme="1"/>
      <name val="Segoe UI Semibold"/>
      <family val="2"/>
    </font>
    <font>
      <b/>
      <sz val="14"/>
      <color rgb="FF625E5E"/>
      <name val="Segoe UI Semibold"/>
      <family val="2"/>
    </font>
    <font>
      <b/>
      <sz val="11"/>
      <color theme="4"/>
      <name val="Calibri"/>
      <family val="2"/>
      <scheme val="minor"/>
    </font>
    <font>
      <b/>
      <sz val="24"/>
      <color theme="4"/>
      <name val="Calibri"/>
      <family val="2"/>
      <scheme val="minor"/>
    </font>
    <font>
      <sz val="8"/>
      <color rgb="FF000000"/>
      <name val="Segoe UI"/>
      <family val="2"/>
    </font>
    <font>
      <b/>
      <sz val="18"/>
      <color theme="4"/>
      <name val="Segoe UI"/>
      <family val="2"/>
    </font>
    <font>
      <sz val="11"/>
      <color rgb="FF000000"/>
      <name val="Calibri"/>
      <family val="2"/>
    </font>
    <font>
      <sz val="16"/>
      <color theme="0" tint="-0.499984740745262"/>
      <name val="Segoe UI Semibold"/>
      <family val="2"/>
    </font>
    <font>
      <b/>
      <sz val="14"/>
      <color theme="4"/>
      <name val="Calibri"/>
      <family val="2"/>
    </font>
    <font>
      <b/>
      <sz val="22"/>
      <color rgb="FF4472C4"/>
      <name val="Calibri"/>
      <family val="2"/>
      <charset val="1"/>
    </font>
    <font>
      <b/>
      <sz val="12"/>
      <color theme="4"/>
      <name val="Segoe UI"/>
      <family val="2"/>
    </font>
    <font>
      <sz val="11"/>
      <color theme="1"/>
      <name val="Segoe UI"/>
      <family val="2"/>
      <charset val="2"/>
    </font>
    <font>
      <sz val="10"/>
      <color theme="1"/>
      <name val="Segoe UI"/>
      <family val="2"/>
    </font>
    <font>
      <sz val="10"/>
      <color theme="1"/>
      <name val="Segoe UI"/>
      <family val="2"/>
      <charset val="2"/>
    </font>
    <font>
      <sz val="10"/>
      <color theme="1"/>
      <name val="Wingdings"/>
      <charset val="2"/>
    </font>
    <font>
      <sz val="11"/>
      <color theme="0" tint="-0.34998626667073579"/>
      <name val="Consolas"/>
      <family val="3"/>
    </font>
    <font>
      <sz val="11"/>
      <name val="Segoe UI"/>
      <family val="2"/>
    </font>
  </fonts>
  <fills count="10">
    <fill>
      <patternFill patternType="none"/>
    </fill>
    <fill>
      <patternFill patternType="gray125"/>
    </fill>
    <fill>
      <patternFill patternType="solid">
        <fgColor rgb="FFFFFFCC"/>
      </patternFill>
    </fill>
    <fill>
      <patternFill patternType="solid">
        <fgColor rgb="FFFF0000"/>
        <bgColor indexed="64"/>
      </patternFill>
    </fill>
    <fill>
      <patternFill patternType="solid">
        <fgColor rgb="FF00B050"/>
        <bgColor indexed="64"/>
      </patternFill>
    </fill>
    <fill>
      <patternFill patternType="solid">
        <fgColor theme="1"/>
        <bgColor indexed="64"/>
      </patternFill>
    </fill>
    <fill>
      <patternFill patternType="solid">
        <fgColor theme="0" tint="-0.249977111117893"/>
        <bgColor indexed="64"/>
      </patternFill>
    </fill>
    <fill>
      <patternFill patternType="solid">
        <fgColor theme="7"/>
        <bgColor indexed="64"/>
      </patternFill>
    </fill>
    <fill>
      <patternFill patternType="solid">
        <fgColor theme="9" tint="0.79998168889431442"/>
        <bgColor indexed="64"/>
      </patternFill>
    </fill>
    <fill>
      <patternFill patternType="solid">
        <fgColor theme="2"/>
        <bgColor indexed="64"/>
      </patternFill>
    </fill>
  </fills>
  <borders count="5">
    <border>
      <left/>
      <right/>
      <top/>
      <bottom/>
      <diagonal/>
    </border>
    <border>
      <left style="thin">
        <color rgb="FFB2B2B2"/>
      </left>
      <right style="thin">
        <color rgb="FFB2B2B2"/>
      </right>
      <top style="thin">
        <color rgb="FFB2B2B2"/>
      </top>
      <bottom style="thin">
        <color rgb="FFB2B2B2"/>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4">
    <xf numFmtId="0" fontId="0" fillId="0" borderId="0"/>
    <xf numFmtId="0" fontId="1" fillId="0" borderId="0" applyNumberFormat="0" applyFill="0" applyBorder="0" applyAlignment="0" applyProtection="0"/>
    <xf numFmtId="0" fontId="2" fillId="2" borderId="1" applyNumberFormat="0" applyFont="0" applyAlignment="0" applyProtection="0"/>
    <xf numFmtId="9" fontId="2" fillId="0" borderId="0" applyFont="0" applyFill="0" applyBorder="0" applyAlignment="0" applyProtection="0"/>
  </cellStyleXfs>
  <cellXfs count="40">
    <xf numFmtId="0" fontId="0" fillId="0" borderId="0" xfId="0"/>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Alignment="1">
      <alignment vertical="top" wrapText="1"/>
    </xf>
    <xf numFmtId="0" fontId="5" fillId="0" borderId="0" xfId="2" applyFont="1" applyFill="1" applyBorder="1" applyAlignment="1">
      <alignment vertical="top" wrapText="1"/>
    </xf>
    <xf numFmtId="0" fontId="5" fillId="0" borderId="0" xfId="0" applyFont="1" applyAlignment="1">
      <alignment horizontal="left" vertical="top"/>
    </xf>
    <xf numFmtId="0" fontId="4" fillId="5" borderId="0" xfId="0" applyFont="1" applyFill="1" applyAlignment="1">
      <alignment horizontal="left" vertical="top"/>
    </xf>
    <xf numFmtId="0" fontId="3" fillId="0" borderId="0" xfId="0" applyFont="1" applyAlignment="1">
      <alignment vertical="top"/>
    </xf>
    <xf numFmtId="0" fontId="0" fillId="3" borderId="0" xfId="0" applyFill="1"/>
    <xf numFmtId="0" fontId="0" fillId="4" borderId="0" xfId="0" applyFill="1"/>
    <xf numFmtId="0" fontId="0" fillId="6" borderId="0" xfId="0" applyFill="1"/>
    <xf numFmtId="0" fontId="0" fillId="7" borderId="0" xfId="0" applyFill="1"/>
    <xf numFmtId="0" fontId="8" fillId="0" borderId="0" xfId="0" applyFont="1" applyAlignment="1">
      <alignment horizontal="left" vertical="center" wrapText="1" indent="10"/>
    </xf>
    <xf numFmtId="0" fontId="7" fillId="0" borderId="0" xfId="0" applyFont="1"/>
    <xf numFmtId="0" fontId="11" fillId="0" borderId="0" xfId="0" applyFont="1"/>
    <xf numFmtId="9" fontId="0" fillId="0" borderId="0" xfId="3" applyFont="1"/>
    <xf numFmtId="9" fontId="10" fillId="0" borderId="0" xfId="3" applyFont="1"/>
    <xf numFmtId="0" fontId="13" fillId="0" borderId="0" xfId="2" applyFont="1" applyFill="1" applyBorder="1" applyAlignment="1">
      <alignment horizontal="left" vertical="center"/>
    </xf>
    <xf numFmtId="0" fontId="15" fillId="5" borderId="0" xfId="0" applyFont="1" applyFill="1" applyAlignment="1">
      <alignment horizontal="left" vertical="top"/>
    </xf>
    <xf numFmtId="164" fontId="17" fillId="0" borderId="0" xfId="0" applyNumberFormat="1" applyFont="1"/>
    <xf numFmtId="0" fontId="16" fillId="0" borderId="0" xfId="0" applyFont="1" applyAlignment="1">
      <alignment horizontal="center" vertical="center" wrapText="1"/>
    </xf>
    <xf numFmtId="0" fontId="1" fillId="0" borderId="0" xfId="1" applyAlignment="1">
      <alignment horizontal="left" vertical="top"/>
    </xf>
    <xf numFmtId="0" fontId="8" fillId="8" borderId="2" xfId="0" applyFont="1" applyFill="1" applyBorder="1" applyAlignment="1">
      <alignment horizontal="left" vertical="center" wrapText="1" indent="10"/>
    </xf>
    <xf numFmtId="0" fontId="18" fillId="8" borderId="4" xfId="0" applyFont="1" applyFill="1" applyBorder="1" applyAlignment="1">
      <alignment horizontal="center" vertical="center" wrapText="1"/>
    </xf>
    <xf numFmtId="0" fontId="19" fillId="0" borderId="0" xfId="0" applyFont="1" applyAlignment="1">
      <alignment horizontal="left" vertical="center" wrapText="1"/>
    </xf>
    <xf numFmtId="0" fontId="3" fillId="0" borderId="0" xfId="0" applyFont="1" applyAlignment="1">
      <alignment horizontal="left"/>
    </xf>
    <xf numFmtId="0" fontId="18" fillId="0" borderId="0" xfId="0" applyFont="1" applyAlignment="1">
      <alignment horizontal="center" vertical="center"/>
    </xf>
    <xf numFmtId="0" fontId="18" fillId="0" borderId="0" xfId="0" applyFont="1" applyAlignment="1">
      <alignment horizontal="center" vertical="center" wrapText="1"/>
    </xf>
    <xf numFmtId="0" fontId="21" fillId="0" borderId="0" xfId="0" applyFont="1" applyAlignment="1">
      <alignment horizontal="left" vertical="center" wrapText="1"/>
    </xf>
    <xf numFmtId="0" fontId="4" fillId="0" borderId="0" xfId="0" applyFont="1" applyAlignment="1">
      <alignment horizontal="left" vertical="top"/>
    </xf>
    <xf numFmtId="0" fontId="19" fillId="0" borderId="0" xfId="0" applyFont="1" applyAlignment="1">
      <alignment horizontal="left" vertical="center"/>
    </xf>
    <xf numFmtId="0" fontId="24" fillId="0" borderId="0" xfId="1" applyFont="1" applyAlignment="1">
      <alignment horizontal="left" vertical="top"/>
    </xf>
    <xf numFmtId="0" fontId="23" fillId="9" borderId="0" xfId="1" applyFont="1" applyFill="1" applyAlignment="1">
      <alignment horizontal="left" vertical="top"/>
    </xf>
    <xf numFmtId="11" fontId="23" fillId="9" borderId="0" xfId="1" applyNumberFormat="1" applyFont="1" applyFill="1" applyAlignment="1">
      <alignment horizontal="left" vertical="top"/>
    </xf>
    <xf numFmtId="0" fontId="15" fillId="5" borderId="0" xfId="0" applyFont="1" applyFill="1" applyAlignment="1">
      <alignment horizontal="center" vertical="top"/>
    </xf>
    <xf numFmtId="0" fontId="23" fillId="9" borderId="0" xfId="1" applyFont="1" applyFill="1" applyAlignment="1">
      <alignment horizontal="center" vertical="top"/>
    </xf>
    <xf numFmtId="0" fontId="0" fillId="0" borderId="0" xfId="0" applyAlignment="1">
      <alignment horizontal="center"/>
    </xf>
    <xf numFmtId="9" fontId="3" fillId="0" borderId="0" xfId="0" applyNumberFormat="1" applyFont="1" applyAlignment="1">
      <alignment horizontal="center" vertical="top"/>
    </xf>
    <xf numFmtId="0" fontId="18" fillId="8" borderId="3" xfId="0" applyFont="1" applyFill="1" applyBorder="1" applyAlignment="1">
      <alignment horizontal="right" vertical="center" wrapText="1"/>
    </xf>
    <xf numFmtId="0" fontId="3" fillId="0" borderId="0" xfId="0" applyFont="1" applyAlignment="1">
      <alignment horizontal="left"/>
    </xf>
  </cellXfs>
  <cellStyles count="4">
    <cellStyle name="Hyperlink" xfId="1" builtinId="8"/>
    <cellStyle name="Normal" xfId="0" builtinId="0"/>
    <cellStyle name="Note" xfId="2" builtinId="10"/>
    <cellStyle name="Percent" xfId="3" builtinId="5"/>
  </cellStyles>
  <dxfs count="41">
    <dxf>
      <fill>
        <patternFill>
          <bgColor rgb="FFFF0000"/>
        </patternFill>
      </fill>
    </dxf>
    <dxf>
      <fill>
        <patternFill>
          <bgColor theme="2"/>
        </patternFill>
      </fill>
    </dxf>
    <dxf>
      <fill>
        <patternFill>
          <bgColor rgb="FFFFC000"/>
        </patternFill>
      </fill>
    </dxf>
    <dxf>
      <fill>
        <patternFill>
          <bgColor rgb="FF00B050"/>
        </patternFill>
      </fill>
    </dxf>
    <dxf>
      <fill>
        <patternFill>
          <bgColor rgb="FF00B050"/>
        </patternFill>
      </fill>
    </dxf>
    <dxf>
      <fill>
        <patternFill>
          <bgColor rgb="FFFF0000"/>
        </patternFill>
      </fill>
    </dxf>
    <dxf>
      <fill>
        <patternFill>
          <bgColor theme="2"/>
        </patternFill>
      </fill>
    </dxf>
    <dxf>
      <fill>
        <patternFill>
          <bgColor rgb="FFFFC000"/>
        </patternFill>
      </fill>
    </dxf>
    <dxf>
      <fill>
        <patternFill>
          <bgColor rgb="FF00B050"/>
        </patternFill>
      </fill>
    </dxf>
    <dxf>
      <fill>
        <patternFill>
          <bgColor rgb="FF00B050"/>
        </patternFill>
      </fill>
    </dxf>
    <dxf>
      <border>
        <bottom style="thin">
          <color theme="2" tint="-9.9948118533890809E-2"/>
        </bottom>
        <vertical/>
        <horizontal/>
      </border>
    </dxf>
    <dxf>
      <border>
        <bottom style="thin">
          <color auto="1"/>
        </bottom>
        <vertical/>
        <horizontal/>
      </border>
    </dxf>
    <dxf>
      <border>
        <bottom style="thin">
          <color theme="2" tint="-9.9948118533890809E-2"/>
        </bottom>
        <vertical/>
        <horizontal/>
      </border>
    </dxf>
    <dxf>
      <border>
        <bottom style="thin">
          <color auto="1"/>
        </bottom>
        <vertical/>
        <horizontal/>
      </border>
    </dxf>
    <dxf>
      <border>
        <bottom style="thin">
          <color theme="2" tint="-9.9948118533890809E-2"/>
        </bottom>
        <vertical/>
        <horizontal/>
      </border>
    </dxf>
    <dxf>
      <border>
        <bottom style="thin">
          <color auto="1"/>
        </bottom>
        <vertical/>
        <horizontal/>
      </border>
    </dxf>
    <dxf>
      <border>
        <bottom style="thin">
          <color theme="2" tint="-9.9948118533890809E-2"/>
        </bottom>
        <vertical/>
        <horizontal/>
      </border>
    </dxf>
    <dxf>
      <border>
        <bottom style="thin">
          <color auto="1"/>
        </bottom>
        <vertical/>
        <horizontal/>
      </border>
    </dxf>
    <dxf>
      <border>
        <bottom style="thin">
          <color theme="2" tint="-9.9948118533890809E-2"/>
        </bottom>
        <vertical/>
        <horizontal/>
      </border>
    </dxf>
    <dxf>
      <border>
        <bottom style="thin">
          <color auto="1"/>
        </bottom>
        <vertical/>
        <horizontal/>
      </border>
    </dxf>
    <dxf>
      <border>
        <bottom style="thin">
          <color theme="2" tint="-9.9948118533890809E-2"/>
        </bottom>
      </border>
    </dxf>
    <dxf>
      <border>
        <bottom style="thin">
          <color auto="1"/>
        </bottom>
        <vertical/>
        <horizontal/>
      </border>
    </dxf>
    <dxf>
      <border>
        <bottom style="thin">
          <color theme="2" tint="-9.9948118533890809E-2"/>
        </bottom>
        <vertical/>
        <horizontal/>
      </border>
    </dxf>
    <dxf>
      <border>
        <bottom style="thin">
          <color auto="1"/>
        </bottom>
        <vertical/>
        <horizontal/>
      </border>
    </dxf>
    <dxf>
      <border>
        <bottom style="thin">
          <color theme="2" tint="-9.9948118533890809E-2"/>
        </bottom>
        <vertical/>
        <horizontal/>
      </border>
    </dxf>
    <dxf>
      <border>
        <bottom style="thin">
          <color auto="1"/>
        </bottom>
        <vertical/>
        <horizontal/>
      </border>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s>
  <tableStyles count="0" defaultTableStyle="TableStyleMedium2" defaultPivotStyle="PivotStyleLight16"/>
  <colors>
    <mruColors>
      <color rgb="FF625E5E"/>
      <color rgb="FF817D7D"/>
      <color rgb="FF0078D4"/>
      <color rgb="FF50E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3.xml"/><Relationship Id="rId5" Type="http://schemas.openxmlformats.org/officeDocument/2006/relationships/styles" Target="styles.xml"/><Relationship Id="rId10" Type="http://schemas.openxmlformats.org/officeDocument/2006/relationships/customXml" Target="../customXml/item2.xml"/><Relationship Id="rId4" Type="http://schemas.openxmlformats.org/officeDocument/2006/relationships/theme" Target="theme/theme1.xml"/><Relationship Id="rId9"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Overall checks (per severity)</a:t>
            </a:r>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B022-4103-AB6F-73A89D7045B8}"/>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B022-4103-AB6F-73A89D7045B8}"/>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B022-4103-AB6F-73A89D7045B8}"/>
              </c:ext>
            </c:extLst>
          </c:dPt>
          <c:cat>
            <c:strRef>
              <c:f>Dashboard!$A$6:$A$8</c:f>
              <c:strCache>
                <c:ptCount val="3"/>
                <c:pt idx="0">
                  <c:v>High</c:v>
                </c:pt>
                <c:pt idx="1">
                  <c:v>Medium</c:v>
                </c:pt>
                <c:pt idx="2">
                  <c:v>Low</c:v>
                </c:pt>
              </c:strCache>
            </c:strRef>
          </c:cat>
          <c:val>
            <c:numRef>
              <c:f>Dashboard!$G$6:$G$8</c:f>
              <c:numCache>
                <c:formatCode>General</c:formatCode>
                <c:ptCount val="3"/>
                <c:pt idx="0">
                  <c:v>34</c:v>
                </c:pt>
                <c:pt idx="1">
                  <c:v>134</c:v>
                </c:pt>
                <c:pt idx="2">
                  <c:v>28</c:v>
                </c:pt>
              </c:numCache>
            </c:numRef>
          </c:val>
          <c:extLst>
            <c:ext xmlns:c16="http://schemas.microsoft.com/office/drawing/2014/chart" uri="{C3380CC4-5D6E-409C-BE32-E72D297353CC}">
              <c16:uniqueId val="{00000000-40F4-4D4C-B7F3-53AA5B0E7933}"/>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Status (overall)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8328-4E93-9FAF-CDC3684C0D60}"/>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8328-4E93-9FAF-CDC3684C0D60}"/>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8328-4E93-9FAF-CDC3684C0D60}"/>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8328-4E93-9FAF-CDC3684C0D60}"/>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92C0-4481-A17F-64AA10FF225C}"/>
              </c:ext>
            </c:extLst>
          </c:dPt>
          <c:cat>
            <c:strRef>
              <c:f>Dashboard!$B$5:$F$5</c:f>
              <c:strCache>
                <c:ptCount val="5"/>
                <c:pt idx="0">
                  <c:v>Not verified</c:v>
                </c:pt>
                <c:pt idx="1">
                  <c:v>Open</c:v>
                </c:pt>
                <c:pt idx="2">
                  <c:v>Fulfilled</c:v>
                </c:pt>
                <c:pt idx="3">
                  <c:v>Not required</c:v>
                </c:pt>
                <c:pt idx="4">
                  <c:v>N/A</c:v>
                </c:pt>
              </c:strCache>
            </c:strRef>
          </c:cat>
          <c:val>
            <c:numRef>
              <c:f>Dashboard!$B$9:$F$9</c:f>
              <c:numCache>
                <c:formatCode>General</c:formatCode>
                <c:ptCount val="5"/>
                <c:pt idx="0">
                  <c:v>196</c:v>
                </c:pt>
                <c:pt idx="1">
                  <c:v>0</c:v>
                </c:pt>
                <c:pt idx="2">
                  <c:v>0</c:v>
                </c:pt>
                <c:pt idx="3">
                  <c:v>0</c:v>
                </c:pt>
                <c:pt idx="4">
                  <c:v>0</c:v>
                </c:pt>
              </c:numCache>
            </c:numRef>
          </c:val>
          <c:extLst>
            <c:ext xmlns:c16="http://schemas.microsoft.com/office/drawing/2014/chart" uri="{C3380CC4-5D6E-409C-BE32-E72D297353CC}">
              <c16:uniqueId val="{00000000-AAA7-491E-BF02-221FE53ECC2B}"/>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Status (Medium)</a:t>
            </a:r>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1"/>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16-7027-42E9-A368-B66B4711060D}"/>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17-7027-42E9-A368-B66B4711060D}"/>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18-7027-42E9-A368-B66B4711060D}"/>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19-7027-42E9-A368-B66B4711060D}"/>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A4EC-4BEE-A3E6-58C5A0D0870B}"/>
              </c:ext>
            </c:extLst>
          </c:dPt>
          <c:cat>
            <c:strRef>
              <c:f>Dashboard!$B$5:$F$5</c:f>
              <c:strCache>
                <c:ptCount val="5"/>
                <c:pt idx="0">
                  <c:v>Not verified</c:v>
                </c:pt>
                <c:pt idx="1">
                  <c:v>Open</c:v>
                </c:pt>
                <c:pt idx="2">
                  <c:v>Fulfilled</c:v>
                </c:pt>
                <c:pt idx="3">
                  <c:v>Not required</c:v>
                </c:pt>
                <c:pt idx="4">
                  <c:v>N/A</c:v>
                </c:pt>
              </c:strCache>
            </c:strRef>
          </c:cat>
          <c:val>
            <c:numRef>
              <c:f>Dashboard!$B$7:$F$7</c:f>
              <c:numCache>
                <c:formatCode>General</c:formatCode>
                <c:ptCount val="5"/>
                <c:pt idx="0">
                  <c:v>134</c:v>
                </c:pt>
                <c:pt idx="1">
                  <c:v>0</c:v>
                </c:pt>
                <c:pt idx="2">
                  <c:v>0</c:v>
                </c:pt>
                <c:pt idx="3">
                  <c:v>0</c:v>
                </c:pt>
                <c:pt idx="4">
                  <c:v>0</c:v>
                </c:pt>
              </c:numCache>
            </c:numRef>
          </c:val>
          <c:extLst>
            <c:ext xmlns:c16="http://schemas.microsoft.com/office/drawing/2014/chart" uri="{C3380CC4-5D6E-409C-BE32-E72D297353CC}">
              <c16:uniqueId val="{00000015-7027-42E9-A368-B66B4711060D}"/>
            </c:ext>
          </c:extLst>
        </c:ser>
        <c:ser>
          <c:idx val="0"/>
          <c:order val="1"/>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B-7027-42E9-A368-B66B4711060D}"/>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D-7027-42E9-A368-B66B4711060D}"/>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F-7027-42E9-A368-B66B4711060D}"/>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11-7027-42E9-A368-B66B4711060D}"/>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13-7027-42E9-A368-B66B4711060D}"/>
              </c:ext>
            </c:extLst>
          </c:dPt>
          <c:cat>
            <c:strRef>
              <c:f>Dashboard!$B$5:$F$5</c:f>
              <c:strCache>
                <c:ptCount val="5"/>
                <c:pt idx="0">
                  <c:v>Not verified</c:v>
                </c:pt>
                <c:pt idx="1">
                  <c:v>Open</c:v>
                </c:pt>
                <c:pt idx="2">
                  <c:v>Fulfilled</c:v>
                </c:pt>
                <c:pt idx="3">
                  <c:v>Not required</c:v>
                </c:pt>
                <c:pt idx="4">
                  <c:v>N/A</c:v>
                </c:pt>
              </c:strCache>
            </c:strRef>
          </c:cat>
          <c:val>
            <c:numRef>
              <c:f>Dashboard!$B$7:$F$7</c:f>
              <c:numCache>
                <c:formatCode>General</c:formatCode>
                <c:ptCount val="5"/>
                <c:pt idx="0">
                  <c:v>134</c:v>
                </c:pt>
                <c:pt idx="1">
                  <c:v>0</c:v>
                </c:pt>
                <c:pt idx="2">
                  <c:v>0</c:v>
                </c:pt>
                <c:pt idx="3">
                  <c:v>0</c:v>
                </c:pt>
                <c:pt idx="4">
                  <c:v>0</c:v>
                </c:pt>
              </c:numCache>
            </c:numRef>
          </c:val>
          <c:extLst>
            <c:ext xmlns:c16="http://schemas.microsoft.com/office/drawing/2014/chart" uri="{C3380CC4-5D6E-409C-BE32-E72D297353CC}">
              <c16:uniqueId val="{00000014-7027-42E9-A368-B66B4711060D}"/>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Status (Low)</a:t>
            </a:r>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360B-4975-A672-1060207E218B}"/>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360B-4975-A672-1060207E218B}"/>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360B-4975-A672-1060207E218B}"/>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360B-4975-A672-1060207E218B}"/>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9079-4179-B979-F16F137A6747}"/>
              </c:ext>
            </c:extLst>
          </c:dPt>
          <c:cat>
            <c:strRef>
              <c:f>Dashboard!$B$5:$F$5</c:f>
              <c:strCache>
                <c:ptCount val="5"/>
                <c:pt idx="0">
                  <c:v>Not verified</c:v>
                </c:pt>
                <c:pt idx="1">
                  <c:v>Open</c:v>
                </c:pt>
                <c:pt idx="2">
                  <c:v>Fulfilled</c:v>
                </c:pt>
                <c:pt idx="3">
                  <c:v>Not required</c:v>
                </c:pt>
                <c:pt idx="4">
                  <c:v>N/A</c:v>
                </c:pt>
              </c:strCache>
            </c:strRef>
          </c:cat>
          <c:val>
            <c:numRef>
              <c:f>Dashboard!$B$8:$F$8</c:f>
              <c:numCache>
                <c:formatCode>General</c:formatCode>
                <c:ptCount val="5"/>
                <c:pt idx="0">
                  <c:v>28</c:v>
                </c:pt>
                <c:pt idx="1">
                  <c:v>0</c:v>
                </c:pt>
                <c:pt idx="2">
                  <c:v>0</c:v>
                </c:pt>
                <c:pt idx="3">
                  <c:v>0</c:v>
                </c:pt>
                <c:pt idx="4">
                  <c:v>0</c:v>
                </c:pt>
              </c:numCache>
            </c:numRef>
          </c:val>
          <c:extLst>
            <c:ext xmlns:c16="http://schemas.microsoft.com/office/drawing/2014/chart" uri="{C3380CC4-5D6E-409C-BE32-E72D297353CC}">
              <c16:uniqueId val="{00000000-7B85-4812-8DC5-4FEFD49C0CB7}"/>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r>
              <a:rPr lang="en-US" sz="1000"/>
              <a:t>Overall checks (per design</a:t>
            </a:r>
            <a:r>
              <a:rPr lang="en-US" sz="1000" baseline="0"/>
              <a:t> area)</a:t>
            </a:r>
            <a:endParaRPr lang="en-US" sz="1000"/>
          </a:p>
        </c:rich>
      </c:tx>
      <c:overlay val="0"/>
      <c:spPr>
        <a:noFill/>
        <a:ln>
          <a:noFill/>
        </a:ln>
        <a:effectLst/>
      </c:spPr>
      <c:txPr>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5D9E-4CE0-A990-137DE654B407}"/>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5D9E-4CE0-A990-137DE654B407}"/>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5D9E-4CE0-A990-137DE654B407}"/>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5D9E-4CE0-A990-137DE654B407}"/>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5D9E-4CE0-A990-137DE654B407}"/>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5D9E-4CE0-A990-137DE654B407}"/>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5D9E-4CE0-A990-137DE654B407}"/>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F-F9AB-4AD4-9C2B-7A30973B3A6B}"/>
              </c:ext>
            </c:extLst>
          </c:dPt>
          <c:cat>
            <c:strRef>
              <c:f>Dashboard!$I$6:$I$13</c:f>
              <c:strCache>
                <c:ptCount val="8"/>
                <c:pt idx="0">
                  <c:v>AI</c:v>
                </c:pt>
                <c:pt idx="1">
                  <c:v>Business</c:v>
                </c:pt>
                <c:pt idx="2">
                  <c:v>Data</c:v>
                </c:pt>
                <c:pt idx="3">
                  <c:v>Governance</c:v>
                </c:pt>
                <c:pt idx="4">
                  <c:v>Infrastructure</c:v>
                </c:pt>
                <c:pt idx="5">
                  <c:v>Microservices</c:v>
                </c:pt>
                <c:pt idx="6">
                  <c:v>Observability</c:v>
                </c:pt>
                <c:pt idx="7">
                  <c:v>Resiliency</c:v>
                </c:pt>
              </c:strCache>
            </c:strRef>
          </c:cat>
          <c:val>
            <c:numRef>
              <c:f>Dashboard!$O$6:$O$13</c:f>
              <c:numCache>
                <c:formatCode>General</c:formatCode>
                <c:ptCount val="8"/>
                <c:pt idx="0">
                  <c:v>1</c:v>
                </c:pt>
                <c:pt idx="1">
                  <c:v>64</c:v>
                </c:pt>
                <c:pt idx="2">
                  <c:v>9</c:v>
                </c:pt>
                <c:pt idx="3">
                  <c:v>27</c:v>
                </c:pt>
                <c:pt idx="4">
                  <c:v>28</c:v>
                </c:pt>
                <c:pt idx="5">
                  <c:v>32</c:v>
                </c:pt>
                <c:pt idx="6">
                  <c:v>11</c:v>
                </c:pt>
                <c:pt idx="7">
                  <c:v>11</c:v>
                </c:pt>
              </c:numCache>
            </c:numRef>
          </c:val>
          <c:extLst>
            <c:ext xmlns:c16="http://schemas.microsoft.com/office/drawing/2014/chart" uri="{C3380CC4-5D6E-409C-BE32-E72D297353CC}">
              <c16:uniqueId val="{00000000-641C-4C25-AB91-4B7C0B635C6A}"/>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Status (per technology)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Dashboard!$J$5</c:f>
              <c:strCache>
                <c:ptCount val="1"/>
                <c:pt idx="0">
                  <c:v>Not verified</c:v>
                </c:pt>
              </c:strCache>
            </c:strRef>
          </c:tx>
          <c:spPr>
            <a:solidFill>
              <a:schemeClr val="accent1"/>
            </a:solidFill>
            <a:ln>
              <a:noFill/>
            </a:ln>
            <a:effectLst/>
            <a:sp3d/>
          </c:spPr>
          <c:invertIfNegative val="0"/>
          <c:cat>
            <c:strRef>
              <c:f>Dashboard!$I$6:$I$13</c:f>
              <c:strCache>
                <c:ptCount val="8"/>
                <c:pt idx="0">
                  <c:v>AI</c:v>
                </c:pt>
                <c:pt idx="1">
                  <c:v>Business</c:v>
                </c:pt>
                <c:pt idx="2">
                  <c:v>Data</c:v>
                </c:pt>
                <c:pt idx="3">
                  <c:v>Governance</c:v>
                </c:pt>
                <c:pt idx="4">
                  <c:v>Infrastructure</c:v>
                </c:pt>
                <c:pt idx="5">
                  <c:v>Microservices</c:v>
                </c:pt>
                <c:pt idx="6">
                  <c:v>Observability</c:v>
                </c:pt>
                <c:pt idx="7">
                  <c:v>Resiliency</c:v>
                </c:pt>
              </c:strCache>
            </c:strRef>
          </c:cat>
          <c:val>
            <c:numRef>
              <c:f>Dashboard!$J$6:$J$13</c:f>
              <c:numCache>
                <c:formatCode>General</c:formatCode>
                <c:ptCount val="8"/>
                <c:pt idx="0">
                  <c:v>1</c:v>
                </c:pt>
                <c:pt idx="1">
                  <c:v>64</c:v>
                </c:pt>
                <c:pt idx="2">
                  <c:v>9</c:v>
                </c:pt>
                <c:pt idx="3">
                  <c:v>27</c:v>
                </c:pt>
                <c:pt idx="4">
                  <c:v>28</c:v>
                </c:pt>
                <c:pt idx="5">
                  <c:v>32</c:v>
                </c:pt>
                <c:pt idx="6">
                  <c:v>11</c:v>
                </c:pt>
                <c:pt idx="7">
                  <c:v>11</c:v>
                </c:pt>
              </c:numCache>
            </c:numRef>
          </c:val>
          <c:extLst>
            <c:ext xmlns:c16="http://schemas.microsoft.com/office/drawing/2014/chart" uri="{C3380CC4-5D6E-409C-BE32-E72D297353CC}">
              <c16:uniqueId val="{00000000-A456-4CA0-9887-8AFA0FCABAF4}"/>
            </c:ext>
          </c:extLst>
        </c:ser>
        <c:ser>
          <c:idx val="1"/>
          <c:order val="1"/>
          <c:tx>
            <c:strRef>
              <c:f>Dashboard!$K$5</c:f>
              <c:strCache>
                <c:ptCount val="1"/>
                <c:pt idx="0">
                  <c:v>Open</c:v>
                </c:pt>
              </c:strCache>
            </c:strRef>
          </c:tx>
          <c:spPr>
            <a:solidFill>
              <a:schemeClr val="accent2"/>
            </a:solidFill>
            <a:ln>
              <a:noFill/>
            </a:ln>
            <a:effectLst/>
            <a:sp3d/>
          </c:spPr>
          <c:invertIfNegative val="0"/>
          <c:cat>
            <c:strRef>
              <c:f>Dashboard!$I$6:$I$13</c:f>
              <c:strCache>
                <c:ptCount val="8"/>
                <c:pt idx="0">
                  <c:v>AI</c:v>
                </c:pt>
                <c:pt idx="1">
                  <c:v>Business</c:v>
                </c:pt>
                <c:pt idx="2">
                  <c:v>Data</c:v>
                </c:pt>
                <c:pt idx="3">
                  <c:v>Governance</c:v>
                </c:pt>
                <c:pt idx="4">
                  <c:v>Infrastructure</c:v>
                </c:pt>
                <c:pt idx="5">
                  <c:v>Microservices</c:v>
                </c:pt>
                <c:pt idx="6">
                  <c:v>Observability</c:v>
                </c:pt>
                <c:pt idx="7">
                  <c:v>Resiliency</c:v>
                </c:pt>
              </c:strCache>
            </c:strRef>
          </c:cat>
          <c:val>
            <c:numRef>
              <c:f>Dashboard!$K$6:$K$13</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1-A456-4CA0-9887-8AFA0FCABAF4}"/>
            </c:ext>
          </c:extLst>
        </c:ser>
        <c:ser>
          <c:idx val="2"/>
          <c:order val="2"/>
          <c:tx>
            <c:strRef>
              <c:f>Dashboard!$L$5</c:f>
              <c:strCache>
                <c:ptCount val="1"/>
                <c:pt idx="0">
                  <c:v>Fulfilled</c:v>
                </c:pt>
              </c:strCache>
            </c:strRef>
          </c:tx>
          <c:spPr>
            <a:solidFill>
              <a:schemeClr val="accent3"/>
            </a:solidFill>
            <a:ln>
              <a:noFill/>
            </a:ln>
            <a:effectLst/>
            <a:sp3d/>
          </c:spPr>
          <c:invertIfNegative val="0"/>
          <c:cat>
            <c:strRef>
              <c:f>Dashboard!$I$6:$I$13</c:f>
              <c:strCache>
                <c:ptCount val="8"/>
                <c:pt idx="0">
                  <c:v>AI</c:v>
                </c:pt>
                <c:pt idx="1">
                  <c:v>Business</c:v>
                </c:pt>
                <c:pt idx="2">
                  <c:v>Data</c:v>
                </c:pt>
                <c:pt idx="3">
                  <c:v>Governance</c:v>
                </c:pt>
                <c:pt idx="4">
                  <c:v>Infrastructure</c:v>
                </c:pt>
                <c:pt idx="5">
                  <c:v>Microservices</c:v>
                </c:pt>
                <c:pt idx="6">
                  <c:v>Observability</c:v>
                </c:pt>
                <c:pt idx="7">
                  <c:v>Resiliency</c:v>
                </c:pt>
              </c:strCache>
            </c:strRef>
          </c:cat>
          <c:val>
            <c:numRef>
              <c:f>Dashboard!$L$6:$L$13</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2-A456-4CA0-9887-8AFA0FCABAF4}"/>
            </c:ext>
          </c:extLst>
        </c:ser>
        <c:ser>
          <c:idx val="3"/>
          <c:order val="3"/>
          <c:tx>
            <c:strRef>
              <c:f>Dashboard!$M$5</c:f>
              <c:strCache>
                <c:ptCount val="1"/>
                <c:pt idx="0">
                  <c:v>Not required</c:v>
                </c:pt>
              </c:strCache>
            </c:strRef>
          </c:tx>
          <c:spPr>
            <a:solidFill>
              <a:schemeClr val="accent4"/>
            </a:solidFill>
            <a:ln>
              <a:noFill/>
            </a:ln>
            <a:effectLst/>
            <a:sp3d/>
          </c:spPr>
          <c:invertIfNegative val="0"/>
          <c:cat>
            <c:strRef>
              <c:f>Dashboard!$I$6:$I$13</c:f>
              <c:strCache>
                <c:ptCount val="8"/>
                <c:pt idx="0">
                  <c:v>AI</c:v>
                </c:pt>
                <c:pt idx="1">
                  <c:v>Business</c:v>
                </c:pt>
                <c:pt idx="2">
                  <c:v>Data</c:v>
                </c:pt>
                <c:pt idx="3">
                  <c:v>Governance</c:v>
                </c:pt>
                <c:pt idx="4">
                  <c:v>Infrastructure</c:v>
                </c:pt>
                <c:pt idx="5">
                  <c:v>Microservices</c:v>
                </c:pt>
                <c:pt idx="6">
                  <c:v>Observability</c:v>
                </c:pt>
                <c:pt idx="7">
                  <c:v>Resiliency</c:v>
                </c:pt>
              </c:strCache>
            </c:strRef>
          </c:cat>
          <c:val>
            <c:numRef>
              <c:f>Dashboard!$M$6:$M$13</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3-A456-4CA0-9887-8AFA0FCABAF4}"/>
            </c:ext>
          </c:extLst>
        </c:ser>
        <c:ser>
          <c:idx val="4"/>
          <c:order val="4"/>
          <c:tx>
            <c:strRef>
              <c:f>Dashboard!$N$5</c:f>
              <c:strCache>
                <c:ptCount val="1"/>
                <c:pt idx="0">
                  <c:v>N/A</c:v>
                </c:pt>
              </c:strCache>
            </c:strRef>
          </c:tx>
          <c:spPr>
            <a:solidFill>
              <a:schemeClr val="accent5"/>
            </a:solidFill>
            <a:ln>
              <a:noFill/>
            </a:ln>
            <a:effectLst/>
            <a:sp3d/>
          </c:spPr>
          <c:invertIfNegative val="0"/>
          <c:cat>
            <c:strRef>
              <c:f>Dashboard!$I$6:$I$13</c:f>
              <c:strCache>
                <c:ptCount val="8"/>
                <c:pt idx="0">
                  <c:v>AI</c:v>
                </c:pt>
                <c:pt idx="1">
                  <c:v>Business</c:v>
                </c:pt>
                <c:pt idx="2">
                  <c:v>Data</c:v>
                </c:pt>
                <c:pt idx="3">
                  <c:v>Governance</c:v>
                </c:pt>
                <c:pt idx="4">
                  <c:v>Infrastructure</c:v>
                </c:pt>
                <c:pt idx="5">
                  <c:v>Microservices</c:v>
                </c:pt>
                <c:pt idx="6">
                  <c:v>Observability</c:v>
                </c:pt>
                <c:pt idx="7">
                  <c:v>Resiliency</c:v>
                </c:pt>
              </c:strCache>
            </c:strRef>
          </c:cat>
          <c:val>
            <c:numRef>
              <c:f>Dashboard!$N$6:$N$13</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1-16D1-46B6-AF17-3D8245C79C72}"/>
            </c:ext>
          </c:extLst>
        </c:ser>
        <c:dLbls>
          <c:showLegendKey val="0"/>
          <c:showVal val="0"/>
          <c:showCatName val="0"/>
          <c:showSerName val="0"/>
          <c:showPercent val="0"/>
          <c:showBubbleSize val="0"/>
        </c:dLbls>
        <c:gapWidth val="150"/>
        <c:shape val="box"/>
        <c:axId val="614148176"/>
        <c:axId val="614191024"/>
        <c:axId val="0"/>
      </c:bar3DChart>
      <c:catAx>
        <c:axId val="61414817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4191024"/>
        <c:crosses val="autoZero"/>
        <c:auto val="1"/>
        <c:lblAlgn val="ctr"/>
        <c:lblOffset val="100"/>
        <c:noMultiLvlLbl val="0"/>
      </c:catAx>
      <c:valAx>
        <c:axId val="6141910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41481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Design Area Coverage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radarChart>
        <c:radarStyle val="filled"/>
        <c:varyColors val="0"/>
        <c:ser>
          <c:idx val="0"/>
          <c:order val="0"/>
          <c:tx>
            <c:strRef>
              <c:f>Dashboard!$U$20</c:f>
              <c:strCache>
                <c:ptCount val="1"/>
                <c:pt idx="0">
                  <c:v>Progress</c:v>
                </c:pt>
              </c:strCache>
            </c:strRef>
          </c:tx>
          <c:spPr>
            <a:solidFill>
              <a:schemeClr val="accent1"/>
            </a:solidFill>
            <a:ln>
              <a:solidFill>
                <a:schemeClr val="accent2"/>
              </a:solidFill>
            </a:ln>
            <a:effectLst/>
          </c:spPr>
          <c:cat>
            <c:strRef>
              <c:f>Dashboard!$P$21:$P$28</c:f>
              <c:strCache>
                <c:ptCount val="8"/>
                <c:pt idx="0">
                  <c:v>AI</c:v>
                </c:pt>
                <c:pt idx="1">
                  <c:v>Business</c:v>
                </c:pt>
                <c:pt idx="2">
                  <c:v>Data</c:v>
                </c:pt>
                <c:pt idx="3">
                  <c:v>Governance</c:v>
                </c:pt>
                <c:pt idx="4">
                  <c:v>Infrastructure</c:v>
                </c:pt>
                <c:pt idx="5">
                  <c:v>Microservices</c:v>
                </c:pt>
                <c:pt idx="6">
                  <c:v>Observability</c:v>
                </c:pt>
                <c:pt idx="7">
                  <c:v>Resiliency</c:v>
                </c:pt>
              </c:strCache>
            </c:strRef>
          </c:cat>
          <c:val>
            <c:numRef>
              <c:f>Dashboard!$U$21:$U$28</c:f>
              <c:numCache>
                <c:formatCode>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0-4855-4BF4-B45D-2AF39CC8E2E0}"/>
            </c:ext>
          </c:extLst>
        </c:ser>
        <c:dLbls>
          <c:showLegendKey val="0"/>
          <c:showVal val="0"/>
          <c:showCatName val="0"/>
          <c:showSerName val="0"/>
          <c:showPercent val="0"/>
          <c:showBubbleSize val="0"/>
        </c:dLbls>
        <c:axId val="1704771872"/>
        <c:axId val="1704768960"/>
      </c:radarChart>
      <c:catAx>
        <c:axId val="17047718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4768960"/>
        <c:crosses val="autoZero"/>
        <c:auto val="1"/>
        <c:lblAlgn val="ctr"/>
        <c:lblOffset val="100"/>
        <c:noMultiLvlLbl val="0"/>
      </c:catAx>
      <c:valAx>
        <c:axId val="170476896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47718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Status (High)</a:t>
            </a:r>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84B9-4838-8FA6-97094605555C}"/>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84B9-4838-8FA6-97094605555C}"/>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84B9-4838-8FA6-97094605555C}"/>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84B9-4838-8FA6-97094605555C}"/>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84B9-4838-8FA6-97094605555C}"/>
              </c:ext>
            </c:extLst>
          </c:dPt>
          <c:cat>
            <c:strRef>
              <c:f>Dashboard!$B$5:$F$5</c:f>
              <c:strCache>
                <c:ptCount val="5"/>
                <c:pt idx="0">
                  <c:v>Not verified</c:v>
                </c:pt>
                <c:pt idx="1">
                  <c:v>Open</c:v>
                </c:pt>
                <c:pt idx="2">
                  <c:v>Fulfilled</c:v>
                </c:pt>
                <c:pt idx="3">
                  <c:v>Not required</c:v>
                </c:pt>
                <c:pt idx="4">
                  <c:v>N/A</c:v>
                </c:pt>
              </c:strCache>
            </c:strRef>
          </c:cat>
          <c:val>
            <c:numRef>
              <c:f>Dashboard!$B$6:$F$6</c:f>
              <c:numCache>
                <c:formatCode>General</c:formatCode>
                <c:ptCount val="5"/>
                <c:pt idx="0">
                  <c:v>34</c:v>
                </c:pt>
                <c:pt idx="1">
                  <c:v>0</c:v>
                </c:pt>
                <c:pt idx="2">
                  <c:v>0</c:v>
                </c:pt>
                <c:pt idx="3">
                  <c:v>0</c:v>
                </c:pt>
                <c:pt idx="4">
                  <c:v>0</c:v>
                </c:pt>
              </c:numCache>
            </c:numRef>
          </c:val>
          <c:extLst>
            <c:ext xmlns:c16="http://schemas.microsoft.com/office/drawing/2014/chart" uri="{C3380CC4-5D6E-409C-BE32-E72D297353CC}">
              <c16:uniqueId val="{0000000A-84B9-4838-8FA6-97094605555C}"/>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GBox" noThreeD="1"/>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7</xdr:col>
      <xdr:colOff>419100</xdr:colOff>
      <xdr:row>31</xdr:row>
      <xdr:rowOff>180974</xdr:rowOff>
    </xdr:from>
    <xdr:to>
      <xdr:col>12</xdr:col>
      <xdr:colOff>457199</xdr:colOff>
      <xdr:row>45</xdr:row>
      <xdr:rowOff>76199</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238125</xdr:colOff>
      <xdr:row>0</xdr:row>
      <xdr:rowOff>114300</xdr:rowOff>
    </xdr:from>
    <xdr:to>
      <xdr:col>23</xdr:col>
      <xdr:colOff>66675</xdr:colOff>
      <xdr:row>15</xdr:row>
      <xdr:rowOff>142875</xdr:rowOff>
    </xdr:to>
    <xdr:graphicFrame macro="">
      <xdr:nvGraphicFramePr>
        <xdr:cNvPr id="5" name="Chart 4">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23</xdr:col>
      <xdr:colOff>171450</xdr:colOff>
      <xdr:row>8</xdr:row>
      <xdr:rowOff>19050</xdr:rowOff>
    </xdr:from>
    <xdr:to>
      <xdr:col>28</xdr:col>
      <xdr:colOff>576263</xdr:colOff>
      <xdr:row>17</xdr:row>
      <xdr:rowOff>0</xdr:rowOff>
    </xdr:to>
    <xdr:graphicFrame macro="">
      <xdr:nvGraphicFramePr>
        <xdr:cNvPr id="8" name="Chart 7">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166686</xdr:colOff>
      <xdr:row>17</xdr:row>
      <xdr:rowOff>57150</xdr:rowOff>
    </xdr:from>
    <xdr:to>
      <xdr:col>28</xdr:col>
      <xdr:colOff>542925</xdr:colOff>
      <xdr:row>26</xdr:row>
      <xdr:rowOff>100013</xdr:rowOff>
    </xdr:to>
    <xdr:graphicFrame macro="">
      <xdr:nvGraphicFramePr>
        <xdr:cNvPr id="9" name="Chart 8">
          <a:extLst>
            <a:ext uri="{FF2B5EF4-FFF2-40B4-BE49-F238E27FC236}">
              <a16:creationId xmlns:a16="http://schemas.microsoft.com/office/drawing/2014/main" id="{00000000-0008-0000-00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200024</xdr:colOff>
      <xdr:row>31</xdr:row>
      <xdr:rowOff>180975</xdr:rowOff>
    </xdr:from>
    <xdr:to>
      <xdr:col>7</xdr:col>
      <xdr:colOff>285749</xdr:colOff>
      <xdr:row>45</xdr:row>
      <xdr:rowOff>95250</xdr:rowOff>
    </xdr:to>
    <xdr:graphicFrame macro="">
      <xdr:nvGraphicFramePr>
        <xdr:cNvPr id="10" name="Chart 9">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238123</xdr:colOff>
      <xdr:row>15</xdr:row>
      <xdr:rowOff>28574</xdr:rowOff>
    </xdr:from>
    <xdr:to>
      <xdr:col>12</xdr:col>
      <xdr:colOff>466724</xdr:colOff>
      <xdr:row>31</xdr:row>
      <xdr:rowOff>47625</xdr:rowOff>
    </xdr:to>
    <xdr:graphicFrame macro="">
      <xdr:nvGraphicFramePr>
        <xdr:cNvPr id="11" name="Chart 10">
          <a:extLst>
            <a:ext uri="{FF2B5EF4-FFF2-40B4-BE49-F238E27FC236}">
              <a16:creationId xmlns:a16="http://schemas.microsoft.com/office/drawing/2014/main" id="{00000000-0008-0000-00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14</xdr:col>
      <xdr:colOff>576263</xdr:colOff>
      <xdr:row>29</xdr:row>
      <xdr:rowOff>150019</xdr:rowOff>
    </xdr:from>
    <xdr:to>
      <xdr:col>22</xdr:col>
      <xdr:colOff>42863</xdr:colOff>
      <xdr:row>44</xdr:row>
      <xdr:rowOff>178594</xdr:rowOff>
    </xdr:to>
    <xdr:graphicFrame macro="">
      <xdr:nvGraphicFramePr>
        <xdr:cNvPr id="14" name="Chart 13">
          <a:extLst>
            <a:ext uri="{FF2B5EF4-FFF2-40B4-BE49-F238E27FC236}">
              <a16:creationId xmlns:a16="http://schemas.microsoft.com/office/drawing/2014/main" id="{00000000-0008-0000-00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23</xdr:col>
      <xdr:colOff>166688</xdr:colOff>
      <xdr:row>0</xdr:row>
      <xdr:rowOff>247650</xdr:rowOff>
    </xdr:from>
    <xdr:to>
      <xdr:col>28</xdr:col>
      <xdr:colOff>571501</xdr:colOff>
      <xdr:row>7</xdr:row>
      <xdr:rowOff>95250</xdr:rowOff>
    </xdr:to>
    <xdr:graphicFrame macro="">
      <xdr:nvGraphicFramePr>
        <xdr:cNvPr id="12" name="Chart 11">
          <a:extLst>
            <a:ext uri="{FF2B5EF4-FFF2-40B4-BE49-F238E27FC236}">
              <a16:creationId xmlns:a16="http://schemas.microsoft.com/office/drawing/2014/main" id="{00000000-0008-0000-00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0</xdr:col>
      <xdr:colOff>304800</xdr:colOff>
      <xdr:row>1</xdr:row>
      <xdr:rowOff>305488</xdr:rowOff>
    </xdr:to>
    <xdr:sp macro="" textlink="">
      <xdr:nvSpPr>
        <xdr:cNvPr id="3077" name="AutoShape 5" descr="Full-color reverse Microsoft logo">
          <a:extLst>
            <a:ext uri="{FF2B5EF4-FFF2-40B4-BE49-F238E27FC236}">
              <a16:creationId xmlns:a16="http://schemas.microsoft.com/office/drawing/2014/main" id="{00000000-0008-0000-0100-0000050C0000}"/>
            </a:ext>
          </a:extLst>
        </xdr:cNvPr>
        <xdr:cNvSpPr>
          <a:spLocks noChangeAspect="1" noChangeArrowheads="1"/>
        </xdr:cNvSpPr>
      </xdr:nvSpPr>
      <xdr:spPr bwMode="auto">
        <a:xfrm>
          <a:off x="0" y="214313"/>
          <a:ext cx="304800" cy="305488"/>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en-US"/>
        </a:p>
      </xdr:txBody>
    </xdr:sp>
    <xdr:clientData/>
  </xdr:twoCellAnchor>
  <xdr:twoCellAnchor editAs="oneCell">
    <xdr:from>
      <xdr:col>0</xdr:col>
      <xdr:colOff>0</xdr:colOff>
      <xdr:row>1</xdr:row>
      <xdr:rowOff>0</xdr:rowOff>
    </xdr:from>
    <xdr:to>
      <xdr:col>0</xdr:col>
      <xdr:colOff>304800</xdr:colOff>
      <xdr:row>1</xdr:row>
      <xdr:rowOff>305488</xdr:rowOff>
    </xdr:to>
    <xdr:sp macro="" textlink="">
      <xdr:nvSpPr>
        <xdr:cNvPr id="3080" name="AutoShape 8" descr="Full-color reverse Microsoft logo">
          <a:extLst>
            <a:ext uri="{FF2B5EF4-FFF2-40B4-BE49-F238E27FC236}">
              <a16:creationId xmlns:a16="http://schemas.microsoft.com/office/drawing/2014/main" id="{00000000-0008-0000-0100-0000080C0000}"/>
            </a:ext>
          </a:extLst>
        </xdr:cNvPr>
        <xdr:cNvSpPr>
          <a:spLocks noChangeAspect="1" noChangeArrowheads="1"/>
        </xdr:cNvSpPr>
      </xdr:nvSpPr>
      <xdr:spPr bwMode="auto">
        <a:xfrm>
          <a:off x="0" y="214313"/>
          <a:ext cx="304800" cy="305488"/>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en-US"/>
        </a:p>
      </xdr:txBody>
    </xdr:sp>
    <xdr:clientData/>
  </xdr:twoCellAnchor>
  <xdr:twoCellAnchor editAs="oneCell">
    <xdr:from>
      <xdr:col>0</xdr:col>
      <xdr:colOff>0</xdr:colOff>
      <xdr:row>0</xdr:row>
      <xdr:rowOff>0</xdr:rowOff>
    </xdr:from>
    <xdr:to>
      <xdr:col>1</xdr:col>
      <xdr:colOff>1386839</xdr:colOff>
      <xdr:row>2</xdr:row>
      <xdr:rowOff>91603</xdr:rowOff>
    </xdr:to>
    <xdr:pic>
      <xdr:nvPicPr>
        <xdr:cNvPr id="7" name="Picture 6" descr="Azure logo stacked">
          <a:extLst>
            <a:ext uri="{FF2B5EF4-FFF2-40B4-BE49-F238E27FC236}">
              <a16:creationId xmlns:a16="http://schemas.microsoft.com/office/drawing/2014/main" id="{00000000-0008-0000-0100-000007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15928" r="6486" b="20739"/>
        <a:stretch/>
      </xdr:blipFill>
      <xdr:spPr bwMode="auto">
        <a:xfrm>
          <a:off x="0" y="0"/>
          <a:ext cx="2643187" cy="100838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6</xdr:col>
          <xdr:colOff>4895850</xdr:colOff>
          <xdr:row>1</xdr:row>
          <xdr:rowOff>533400</xdr:rowOff>
        </xdr:from>
        <xdr:to>
          <xdr:col>8</xdr:col>
          <xdr:colOff>885825</xdr:colOff>
          <xdr:row>2</xdr:row>
          <xdr:rowOff>85725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Z" sz="1100" b="0" i="0" u="none" strike="noStrike" baseline="0">
                  <a:solidFill>
                    <a:srgbClr val="000000"/>
                  </a:solidFill>
                  <a:latin typeface="Calibri"/>
                  <a:ea typeface="Calibri"/>
                  <a:cs typeface="Calibri"/>
                </a:rPr>
                <a:t>Export checklist to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4905375</xdr:colOff>
          <xdr:row>1</xdr:row>
          <xdr:rowOff>219075</xdr:rowOff>
        </xdr:from>
        <xdr:to>
          <xdr:col>7</xdr:col>
          <xdr:colOff>2152650</xdr:colOff>
          <xdr:row>1</xdr:row>
          <xdr:rowOff>476250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Z" sz="1100" b="0" i="0" u="none" strike="noStrike" baseline="0">
                  <a:solidFill>
                    <a:srgbClr val="000000"/>
                  </a:solidFill>
                  <a:latin typeface="Calibri"/>
                  <a:ea typeface="Calibri"/>
                  <a:cs typeface="Calibri"/>
                </a:rPr>
                <a:t>Import checklist from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76200</xdr:colOff>
          <xdr:row>1</xdr:row>
          <xdr:rowOff>161925</xdr:rowOff>
        </xdr:from>
        <xdr:to>
          <xdr:col>3</xdr:col>
          <xdr:colOff>2019300</xdr:colOff>
          <xdr:row>1</xdr:row>
          <xdr:rowOff>476250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Z" sz="1100" b="0" i="0" u="none" strike="noStrike" baseline="0">
                  <a:solidFill>
                    <a:srgbClr val="000000"/>
                  </a:solidFill>
                  <a:latin typeface="Calibri"/>
                  <a:ea typeface="Calibri"/>
                  <a:cs typeface="Calibri"/>
                </a:rPr>
                <a:t>Import latest checklist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4524375</xdr:colOff>
          <xdr:row>1</xdr:row>
          <xdr:rowOff>142875</xdr:rowOff>
        </xdr:from>
        <xdr:to>
          <xdr:col>7</xdr:col>
          <xdr:colOff>2457450</xdr:colOff>
          <xdr:row>4</xdr:row>
          <xdr:rowOff>66675</xdr:rowOff>
        </xdr:to>
        <xdr:sp macro="" textlink="">
          <xdr:nvSpPr>
            <xdr:cNvPr id="1029" name="Group Box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NZ" sz="800" b="0" i="0" u="none" strike="noStrike" baseline="0">
                  <a:solidFill>
                    <a:srgbClr val="000000"/>
                  </a:solidFill>
                  <a:latin typeface="Segoe UI"/>
                  <a:cs typeface="Segoe UI"/>
                </a:rPr>
                <a:t>Advanced</a:t>
              </a:r>
            </a:p>
          </xdr:txBody>
        </xdr:sp>
        <xdr:clientData/>
      </xdr:twoCellAnchor>
    </mc:Choice>
    <mc:Fallback/>
  </mc:AlternateContent>
  <mc:AlternateContent xmlns:mc="http://schemas.openxmlformats.org/markup-compatibility/2006">
    <mc:Choice xmlns:a14="http://schemas.microsoft.com/office/drawing/2010/main" Requires="a14">
      <xdr:twoCellAnchor>
        <xdr:from>
          <xdr:col>6</xdr:col>
          <xdr:colOff>4905375</xdr:colOff>
          <xdr:row>2</xdr:row>
          <xdr:rowOff>152400</xdr:rowOff>
        </xdr:from>
        <xdr:to>
          <xdr:col>8</xdr:col>
          <xdr:colOff>904875</xdr:colOff>
          <xdr:row>3</xdr:row>
          <xdr:rowOff>180975</xdr:rowOff>
        </xdr:to>
        <xdr:sp macro="" textlink="">
          <xdr:nvSpPr>
            <xdr:cNvPr id="1043" name="Button 19" hidden="1">
              <a:extLst>
                <a:ext uri="{63B3BB69-23CF-44E3-9099-C40C66FF867C}">
                  <a14:compatExt spid="_x0000_s1043"/>
                </a:ext>
                <a:ext uri="{FF2B5EF4-FFF2-40B4-BE49-F238E27FC236}">
                  <a16:creationId xmlns:a16="http://schemas.microsoft.com/office/drawing/2014/main" id="{00000000-0008-0000-0100-00001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Z" sz="1100" b="0" i="0" u="none" strike="noStrike" baseline="0">
                  <a:solidFill>
                    <a:srgbClr val="000000"/>
                  </a:solidFill>
                  <a:latin typeface="Calibri"/>
                  <a:ea typeface="Calibri"/>
                  <a:cs typeface="Calibri"/>
                </a:rPr>
                <a:t>Import Graph results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6" Type="http://schemas.openxmlformats.org/officeDocument/2006/relationships/hyperlink" Target="https://learn.microsoft.com/azure/cloud-adoption-framework/strategy/business-outcomes/business-outcome-template?WT.mc_id=AZ-MVP-5004796" TargetMode="External"/><Relationship Id="rId21" Type="http://schemas.openxmlformats.org/officeDocument/2006/relationships/hyperlink" Target="https://azure.microsoft.com/pricing/tco/?WT.mc_id=AZ-MVP-5004796" TargetMode="External"/><Relationship Id="rId42" Type="http://schemas.openxmlformats.org/officeDocument/2006/relationships/hyperlink" Target="https://learn.microsoft.com/azure/deployment-environments/?WT.mc_id=AZ-MVP-5004796" TargetMode="External"/><Relationship Id="rId47" Type="http://schemas.openxmlformats.org/officeDocument/2006/relationships/hyperlink" Target="https://learn.microsoft.com/azure/compliance/?WT.mc_id=AZ-MVP-5004796" TargetMode="External"/><Relationship Id="rId63" Type="http://schemas.openxmlformats.org/officeDocument/2006/relationships/hyperlink" Target="https://learn.microsoft.com/azure/site-recovery/?WT.mc_id=AZ-MVP-5004796" TargetMode="External"/><Relationship Id="rId68" Type="http://schemas.openxmlformats.org/officeDocument/2006/relationships/hyperlink" Target="https://learn.microsoft.com/azure/active-directory/develop/howto-convert-app-to-be-multi-tenant?WT.mc_id=AZ-MVP-5004796" TargetMode="External"/><Relationship Id="rId16" Type="http://schemas.openxmlformats.org/officeDocument/2006/relationships/hyperlink" Target="https://azure.microsoft.com/solutions/industries/?WT.mc_id=AZ-MVP-5004796" TargetMode="External"/><Relationship Id="rId11" Type="http://schemas.openxmlformats.org/officeDocument/2006/relationships/hyperlink" Target="https://azure.microsoft.com/products/?WT.mc_id=AZ-MVP-5004796" TargetMode="External"/><Relationship Id="rId24" Type="http://schemas.openxmlformats.org/officeDocument/2006/relationships/hyperlink" Target="https://www.gartner.com/reviews/market/cloud-infrastructure-and-platform-services/vendor/microsoft/product/azure" TargetMode="External"/><Relationship Id="rId32" Type="http://schemas.openxmlformats.org/officeDocument/2006/relationships/hyperlink" Target="https://learn.microsoft.com/azure/cloud-adoption-framework/strategy/motivations?WT.mc_id=AZ-MVP-5004796" TargetMode="External"/><Relationship Id="rId37" Type="http://schemas.openxmlformats.org/officeDocument/2006/relationships/hyperlink" Target="https://learn.microsoft.com/azure/marketplace/marketplace-categories-industries?WT.mc_id=AZ-MVP-5004796" TargetMode="External"/><Relationship Id="rId40" Type="http://schemas.openxmlformats.org/officeDocument/2006/relationships/hyperlink" Target="https://learn.microsoft.com/certifications/browse/?WT.mc_id=AZ-MVP-5004796" TargetMode="External"/><Relationship Id="rId45" Type="http://schemas.openxmlformats.org/officeDocument/2006/relationships/hyperlink" Target="https://learn.microsoft.com/azure/devops/pipelines/?view=azure-devops&amp;WT.mc_id=AZ-MVP-5004796" TargetMode="External"/><Relationship Id="rId53" Type="http://schemas.openxmlformats.org/officeDocument/2006/relationships/hyperlink" Target="https://learn.microsoft.com/azure/virtual-network/network-security-groups-overview?WT.mc_id=AZ-MVP-5004796" TargetMode="External"/><Relationship Id="rId58" Type="http://schemas.openxmlformats.org/officeDocument/2006/relationships/hyperlink" Target="https://learn.microsoft.com/azure/azure-monitor/logs/data-platform-logs?WT.mc_id=AZ-MVP-5004796" TargetMode="External"/><Relationship Id="rId66" Type="http://schemas.openxmlformats.org/officeDocument/2006/relationships/hyperlink" Target="https://www.microsoft.com/industry?WT.mc_id=AZ-MVP-5004796" TargetMode="External"/><Relationship Id="rId74" Type="http://schemas.openxmlformats.org/officeDocument/2006/relationships/vmlDrawing" Target="../drawings/vmlDrawing1.vml"/><Relationship Id="rId79" Type="http://schemas.openxmlformats.org/officeDocument/2006/relationships/ctrlProp" Target="../ctrlProps/ctrlProp5.xml"/><Relationship Id="rId5" Type="http://schemas.openxmlformats.org/officeDocument/2006/relationships/hyperlink" Target="https://learn.microsoft.com/azure/architecture/guide/?WT.mc_id=AZ-MVP-5004796" TargetMode="External"/><Relationship Id="rId61" Type="http://schemas.openxmlformats.org/officeDocument/2006/relationships/hyperlink" Target="https://learn.microsoft.com/azure/cloud-adoption-framework/ready/landing-zone/design-area/management-business-continuity-disaster-recovery?WT.mc_id=AZ-MVP-5004796" TargetMode="External"/><Relationship Id="rId19" Type="http://schemas.openxmlformats.org/officeDocument/2006/relationships/hyperlink" Target="https://azure.microsoft.com/explore/global-infrastructure/geographies/?WT.mc_id=AZ-MVP-5004796" TargetMode="External"/><Relationship Id="rId14" Type="http://schemas.openxmlformats.org/officeDocument/2006/relationships/hyperlink" Target="https://partner.microsoft.com/" TargetMode="External"/><Relationship Id="rId22" Type="http://schemas.openxmlformats.org/officeDocument/2006/relationships/hyperlink" Target="https://learn.microsoft.com/azure/architecture/guide/multitenant/overview?WT.mc_id=AZ-MVP-5004796" TargetMode="External"/><Relationship Id="rId27" Type="http://schemas.openxmlformats.org/officeDocument/2006/relationships/hyperlink" Target="https://learn.microsoft.com/azure/architecture/framework/resiliency/design-requirements?WT.mc_id=AZ-MVP-5004796" TargetMode="External"/><Relationship Id="rId30" Type="http://schemas.openxmlformats.org/officeDocument/2006/relationships/hyperlink" Target="https://learn.microsoft.com/training/?WT.mc_id=AZ-MVP-5004796" TargetMode="External"/><Relationship Id="rId35" Type="http://schemas.openxmlformats.org/officeDocument/2006/relationships/hyperlink" Target="https://azure.microsoft.com/en-au/products/azure-lighthouse/?WT.mc_id=AZ-MVP-5004796" TargetMode="External"/><Relationship Id="rId43" Type="http://schemas.openxmlformats.org/officeDocument/2006/relationships/hyperlink" Target="https://azure.microsoft.com/products/devops?WT.mc_id=AZ-MVP-5004796" TargetMode="External"/><Relationship Id="rId48" Type="http://schemas.openxmlformats.org/officeDocument/2006/relationships/hyperlink" Target="https://learn.microsoft.com/azure/devops/pipelines/?view=azure-devops&amp;WT.mc_id=AZ-MVP-5004796" TargetMode="External"/><Relationship Id="rId56" Type="http://schemas.openxmlformats.org/officeDocument/2006/relationships/hyperlink" Target="https://learn.microsoft.com/azure/architecture/guide/technology-choices/load-balancing-overview?WT.mc_id=AZ-MVP-5004796" TargetMode="External"/><Relationship Id="rId64" Type="http://schemas.openxmlformats.org/officeDocument/2006/relationships/hyperlink" Target="https://learn.microsoft.com/azure/azure-monitor/app/app-insights-overview?tabs=net&amp;WT.mc_id=AZ-MVP-5004796" TargetMode="External"/><Relationship Id="rId69" Type="http://schemas.openxmlformats.org/officeDocument/2006/relationships/hyperlink" Target="https://learn.microsoft.com/shows/azure-friday/azure-monitor-action-groups?WT.mc_id=AZ-MVP-5004796" TargetMode="External"/><Relationship Id="rId77" Type="http://schemas.openxmlformats.org/officeDocument/2006/relationships/ctrlProp" Target="../ctrlProps/ctrlProp3.xml"/><Relationship Id="rId8" Type="http://schemas.openxmlformats.org/officeDocument/2006/relationships/hyperlink" Target="https://learn.microsoft.com/azure/architecture/serverless-quest/poc-pilot?WT.mc_id=AZ-MVP-5004796" TargetMode="External"/><Relationship Id="rId51" Type="http://schemas.openxmlformats.org/officeDocument/2006/relationships/hyperlink" Target="https://learn.microsoft.com/azure/architecture/?WT.mc_id=AZ-MVP-5004796" TargetMode="External"/><Relationship Id="rId72" Type="http://schemas.openxmlformats.org/officeDocument/2006/relationships/printerSettings" Target="../printerSettings/printerSettings2.bin"/><Relationship Id="rId3" Type="http://schemas.openxmlformats.org/officeDocument/2006/relationships/hyperlink" Target="https://learn.microsoft.com/azure/architecture/guide/design-principles/build-for-business?WT.mc_id=AZ-MVP-5004796" TargetMode="External"/><Relationship Id="rId12" Type="http://schemas.openxmlformats.org/officeDocument/2006/relationships/hyperlink" Target="https://azuremarketplace.microsoft.com/marketplace/consulting-services?exp=ubp8" TargetMode="External"/><Relationship Id="rId17" Type="http://schemas.openxmlformats.org/officeDocument/2006/relationships/hyperlink" Target="https://learn.microsoft.com/compliance/?WT.mc_id=AZ-MVP-5004796" TargetMode="External"/><Relationship Id="rId25" Type="http://schemas.openxmlformats.org/officeDocument/2006/relationships/hyperlink" Target="https://learn.microsoft.com/certifications/azure-ai-engineer/?WT.mc_id=AZ-MVP-5004796" TargetMode="External"/><Relationship Id="rId33" Type="http://schemas.openxmlformats.org/officeDocument/2006/relationships/hyperlink" Target="https://learn.microsoft.com/azure/cloud-adoption-framework/strategy/?WT.mc_id=AZ-MVP-5004796" TargetMode="External"/><Relationship Id="rId38" Type="http://schemas.openxmlformats.org/officeDocument/2006/relationships/hyperlink" Target="https://learn.microsoft.com/azure/backup/guidance-best-practices?WT.mc_id=AZ-MVP-5004796" TargetMode="External"/><Relationship Id="rId46" Type="http://schemas.openxmlformats.org/officeDocument/2006/relationships/hyperlink" Target="https://learn.microsoft.com/azure/compliance/?WT.mc_id=AZ-MVP-5004796" TargetMode="External"/><Relationship Id="rId59" Type="http://schemas.openxmlformats.org/officeDocument/2006/relationships/hyperlink" Target="https://learn.microsoft.com/azure/azure-monitor/alerts/action-groups?WT.mc_id=AZ-MVP-5004796" TargetMode="External"/><Relationship Id="rId67" Type="http://schemas.openxmlformats.org/officeDocument/2006/relationships/hyperlink" Target="https://azure.microsoft.com/solutions/hybrid-cloud-app/?WT.mc_id=AZ-MVP-5004796" TargetMode="External"/><Relationship Id="rId20" Type="http://schemas.openxmlformats.org/officeDocument/2006/relationships/hyperlink" Target="https://azure.microsoft.com/pricing/tco/?WT.mc_id=AZ-MVP-5004796" TargetMode="External"/><Relationship Id="rId41" Type="http://schemas.openxmlformats.org/officeDocument/2006/relationships/hyperlink" Target="https://learn.microsoft.com/azure/cloud-adoption-framework/?WT.mc_id=AZ-MVP-5004796" TargetMode="External"/><Relationship Id="rId54" Type="http://schemas.openxmlformats.org/officeDocument/2006/relationships/hyperlink" Target="https://devicecatalog.azure.com/" TargetMode="External"/><Relationship Id="rId62" Type="http://schemas.openxmlformats.org/officeDocument/2006/relationships/hyperlink" Target="https://azure.microsoft.com/explore/global-infrastructure/geographies/?WT.mc_id=AZ-MVP-5004796" TargetMode="External"/><Relationship Id="rId70" Type="http://schemas.openxmlformats.org/officeDocument/2006/relationships/hyperlink" Target="https://learn.microsoft.com/training/modules/choose-azure-services-sla-lifecycle/?WT.mc_id=AZ-MVP-5004796" TargetMode="External"/><Relationship Id="rId75" Type="http://schemas.openxmlformats.org/officeDocument/2006/relationships/ctrlProp" Target="../ctrlProps/ctrlProp1.xml"/><Relationship Id="rId1" Type="http://schemas.openxmlformats.org/officeDocument/2006/relationships/hyperlink" Target="https://azure.microsoft.com/solutions/ai/?WT.mc_id=AZ-MVP-5004796" TargetMode="External"/><Relationship Id="rId6" Type="http://schemas.openxmlformats.org/officeDocument/2006/relationships/hyperlink" Target="https://partner.microsoft.com/en-US/?WT.mc_id=AZ-MVP-5004796" TargetMode="External"/><Relationship Id="rId15" Type="http://schemas.openxmlformats.org/officeDocument/2006/relationships/hyperlink" Target="https://learn.microsoft.com/azure/lighthouse/overview?WT.mc_id=AZ-MVP-5004796" TargetMode="External"/><Relationship Id="rId23" Type="http://schemas.openxmlformats.org/officeDocument/2006/relationships/hyperlink" Target="https://appsource.microsoft.com/marketplace/partner-dir" TargetMode="External"/><Relationship Id="rId28" Type="http://schemas.openxmlformats.org/officeDocument/2006/relationships/hyperlink" Target="https://learn.microsoft.com/azure/architecture/framework/?WT.mc_id=AZ-MVP-5004796" TargetMode="External"/><Relationship Id="rId36" Type="http://schemas.openxmlformats.org/officeDocument/2006/relationships/hyperlink" Target="https://learn.microsoft.com/azure/active-directory-b2c/?WT.mc_id=AZ-MVP-5004796" TargetMode="External"/><Relationship Id="rId49" Type="http://schemas.openxmlformats.org/officeDocument/2006/relationships/hyperlink" Target="https://learn.microsoft.com/azure/devops/repos/?view=azure-devops&amp;WT.mc_id=AZ-MVP-5004796" TargetMode="External"/><Relationship Id="rId57" Type="http://schemas.openxmlformats.org/officeDocument/2006/relationships/hyperlink" Target="https://learn.microsoft.com/azure/architecture/guide/technology-choices/load-balancing-overview?WT.mc_id=AZ-MVP-5004796" TargetMode="External"/><Relationship Id="rId10" Type="http://schemas.openxmlformats.org/officeDocument/2006/relationships/hyperlink" Target="https://azure.microsoft.com/explore/?WT.mc_id=AZ-MVP-5004796" TargetMode="External"/><Relationship Id="rId31" Type="http://schemas.openxmlformats.org/officeDocument/2006/relationships/hyperlink" Target="https://azure.microsoft.com/resources/training-and-certifications/?WT.mc_id=AZ-MVP-5004796" TargetMode="External"/><Relationship Id="rId44" Type="http://schemas.openxmlformats.org/officeDocument/2006/relationships/hyperlink" Target="https://azure.microsoft.com/products/devops?WT.mc_id=AZ-MVP-5004796" TargetMode="External"/><Relationship Id="rId52" Type="http://schemas.openxmlformats.org/officeDocument/2006/relationships/hyperlink" Target="https://learn.microsoft.com/azure/virtual-network/virtual-networks-udr-overview?WT.mc_id=AZ-MVP-5004796" TargetMode="External"/><Relationship Id="rId60" Type="http://schemas.openxmlformats.org/officeDocument/2006/relationships/hyperlink" Target="https://learn.microsoft.com/azure/cloud-adoption-framework/manage/monitor/service-level-objectives?WT.mc_id=AZ-MVP-5004796" TargetMode="External"/><Relationship Id="rId65" Type="http://schemas.openxmlformats.org/officeDocument/2006/relationships/hyperlink" Target="https://learn.microsoft.com/training/modules/intro-to-azure-lighthouse/?WT.mc_id=AZ-MVP-5004796" TargetMode="External"/><Relationship Id="rId73" Type="http://schemas.openxmlformats.org/officeDocument/2006/relationships/drawing" Target="../drawings/drawing2.xml"/><Relationship Id="rId78" Type="http://schemas.openxmlformats.org/officeDocument/2006/relationships/ctrlProp" Target="../ctrlProps/ctrlProp4.xml"/><Relationship Id="rId4" Type="http://schemas.openxmlformats.org/officeDocument/2006/relationships/hyperlink" Target="https://learn.microsoft.com/azure/architecture/framework/resiliency/design-requirements?WT.mc_id=AZ-MVP-5004796" TargetMode="External"/><Relationship Id="rId9" Type="http://schemas.openxmlformats.org/officeDocument/2006/relationships/hyperlink" Target="https://azure.microsoft.com/?WT.mc_id=AZ-MVP-5004796" TargetMode="External"/><Relationship Id="rId13" Type="http://schemas.openxmlformats.org/officeDocument/2006/relationships/hyperlink" Target="https://partner.microsoft.com/" TargetMode="External"/><Relationship Id="rId18" Type="http://schemas.openxmlformats.org/officeDocument/2006/relationships/hyperlink" Target="https://learn.microsoft.com/compliance/regulatory/offering-home?WT.mc_id=AZ-MVP-5004796" TargetMode="External"/><Relationship Id="rId39" Type="http://schemas.openxmlformats.org/officeDocument/2006/relationships/hyperlink" Target="https://learn.microsoft.com/azure/backup/backup-overview?WT.mc_id=AZ-MVP-5004796" TargetMode="External"/><Relationship Id="rId34" Type="http://schemas.openxmlformats.org/officeDocument/2006/relationships/hyperlink" Target="https://azure.microsoft.com/partners/marketplace?WT.mc_id=AZ-MVP-5004796" TargetMode="External"/><Relationship Id="rId50" Type="http://schemas.openxmlformats.org/officeDocument/2006/relationships/hyperlink" Target="https://learn.microsoft.com/azure/azure-monitor/alerts/itsmc-overview?WT.mc_id=AZ-MVP-5004796" TargetMode="External"/><Relationship Id="rId55" Type="http://schemas.openxmlformats.org/officeDocument/2006/relationships/hyperlink" Target="https://learn.microsoft.com/azure/digital-twins/overview?WT.mc_id=AZ-MVP-5004796" TargetMode="External"/><Relationship Id="rId76" Type="http://schemas.openxmlformats.org/officeDocument/2006/relationships/ctrlProp" Target="../ctrlProps/ctrlProp2.xml"/><Relationship Id="rId7" Type="http://schemas.openxmlformats.org/officeDocument/2006/relationships/hyperlink" Target="https://azure.microsoft.com/products/?WT.mc_id=AZ-MVP-5004796" TargetMode="External"/><Relationship Id="rId71" Type="http://schemas.openxmlformats.org/officeDocument/2006/relationships/hyperlink" Target="https://learn.microsoft.com/azure/firewall/overview?WT.mc_id=AZ-MVP-5004796" TargetMode="External"/><Relationship Id="rId2" Type="http://schemas.openxmlformats.org/officeDocument/2006/relationships/hyperlink" Target="https://learn.microsoft.com/azure/cloud-adoption-framework/strategy/business-outcomes/?WT.mc_id=AZ-MVP-5004796" TargetMode="External"/><Relationship Id="rId29" Type="http://schemas.openxmlformats.org/officeDocument/2006/relationships/hyperlink" Target="https://azure.microsoft.com/resources/cloud-computing-dictionary/what-is-the-cloud?WT.mc_id=AZ-MVP-5004796"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5C3FBF-2D65-44F3-AF2A-1C07141BA112}">
  <sheetPr codeName="Sheet3"/>
  <dimension ref="A1:U55"/>
  <sheetViews>
    <sheetView topLeftCell="A4" zoomScale="80" zoomScaleNormal="80" workbookViewId="0">
      <selection activeCell="I13" sqref="I13"/>
    </sheetView>
  </sheetViews>
  <sheetFormatPr defaultRowHeight="15"/>
  <cols>
    <col min="1" max="1" width="28.28515625" customWidth="1"/>
    <col min="4" max="4" width="15" customWidth="1"/>
    <col min="5" max="6" width="12.85546875" customWidth="1"/>
    <col min="16" max="16" width="20.7109375" bestFit="1" customWidth="1"/>
  </cols>
  <sheetData>
    <row r="1" spans="1:15" ht="37.5">
      <c r="D1" s="20" t="s">
        <v>23</v>
      </c>
      <c r="E1" s="20" t="s">
        <v>24</v>
      </c>
      <c r="F1" s="20"/>
    </row>
    <row r="2" spans="1:15" ht="31.5">
      <c r="A2" s="14" t="s">
        <v>14</v>
      </c>
      <c r="D2" s="19">
        <f>IF($T$29=0,0,1-$Q$29/$T$29)</f>
        <v>0</v>
      </c>
      <c r="E2" s="19">
        <f>IF(T29=0,0,R29/T29)</f>
        <v>0</v>
      </c>
      <c r="F2" s="19"/>
    </row>
    <row r="5" spans="1:15">
      <c r="B5" s="13" t="str">
        <f>Values!$B$2</f>
        <v>Not verified</v>
      </c>
      <c r="C5" s="13" t="str">
        <f>Values!$B$3</f>
        <v>Open</v>
      </c>
      <c r="D5" s="13" t="str">
        <f>Values!$B$4</f>
        <v>Fulfilled</v>
      </c>
      <c r="E5" s="13" t="str">
        <f>Values!$B$5</f>
        <v>Not required</v>
      </c>
      <c r="F5" s="13" t="str">
        <f>Values!$B$6</f>
        <v>N/A</v>
      </c>
      <c r="J5" s="13" t="str">
        <f>Values!$B$2</f>
        <v>Not verified</v>
      </c>
      <c r="K5" s="13" t="str">
        <f>Values!$B$3</f>
        <v>Open</v>
      </c>
      <c r="L5" s="13" t="str">
        <f>Values!$B$4</f>
        <v>Fulfilled</v>
      </c>
      <c r="M5" s="13" t="str">
        <f>Values!$B$5</f>
        <v>Not required</v>
      </c>
      <c r="N5" s="13" t="str">
        <f>Values!$B$6</f>
        <v>N/A</v>
      </c>
      <c r="O5" s="13" t="s">
        <v>16</v>
      </c>
    </row>
    <row r="6" spans="1:15">
      <c r="A6" s="13" t="str">
        <f>Values!A2</f>
        <v>High</v>
      </c>
      <c r="B6" cm="1">
        <f t="array" ref="B6">SUMPRODUCT(--(Checklist!$E$10:$H$488=$A6)*--(Checklist!$F$10:$F$488=B$5))</f>
        <v>34</v>
      </c>
      <c r="C6" cm="1">
        <f t="array" ref="C6">SUMPRODUCT(--(Checklist!$E$10:$H$488=$A6)*--(Checklist!$F$10:$F$488=C$5))</f>
        <v>0</v>
      </c>
      <c r="D6" cm="1">
        <f t="array" ref="D6">SUMPRODUCT(--(Checklist!$E$10:$H$488=$A6)*--(Checklist!$F$10:$F$488=D$5))</f>
        <v>0</v>
      </c>
      <c r="E6" cm="1">
        <f t="array" ref="E6">SUMPRODUCT(--(Checklist!$E$10:$H$488=$A6)*--(Checklist!$F$10:$F$488=E$5))</f>
        <v>0</v>
      </c>
      <c r="F6" cm="1">
        <f t="array" ref="F6">SUMPRODUCT(--(Checklist!$E$10:$H$488=$A6)*--(Checklist!$F$10:$F$488=F$5))</f>
        <v>0</v>
      </c>
      <c r="G6">
        <f>SUM(B6:F6)</f>
        <v>34</v>
      </c>
      <c r="I6" s="13" t="str">
        <f>IF(Values!$C2="","",Values!$C2)</f>
        <v>AI</v>
      </c>
      <c r="J6" cm="1">
        <f t="array" ref="J6">IF($I6="","",SUMPRODUCT(--(Checklist!$A$10:$A$488=$I6)*--(Checklist!$F$10:$F$488=J$5)))</f>
        <v>1</v>
      </c>
      <c r="K6" cm="1">
        <f t="array" ref="K6">IF($I6="","",SUMPRODUCT(--(Checklist!$A$10:$A$488=$I6)*--(Checklist!$F$10:$F$488=K$5)))</f>
        <v>0</v>
      </c>
      <c r="L6" cm="1">
        <f t="array" ref="L6">IF($I6="","",SUMPRODUCT(--(Checklist!$A$10:$A$488=$I6)*--(Checklist!$F$10:$F$488=L$5)))</f>
        <v>0</v>
      </c>
      <c r="M6" cm="1">
        <f t="array" ref="M6">IF($I6="","",SUMPRODUCT(--(Checklist!$A$10:$A$488=$I6)*--(Checklist!$F$10:$F$488=M$5)))</f>
        <v>0</v>
      </c>
      <c r="N6" cm="1">
        <f t="array" ref="N6">IF($I6="","",SUMPRODUCT(--(Checklist!$A$10:$A$488=$I6)*--(Checklist!$F$10:$F$488=N$5)))</f>
        <v>0</v>
      </c>
      <c r="O6">
        <f>IF($I6="","",SUM(J6:N6))</f>
        <v>1</v>
      </c>
    </row>
    <row r="7" spans="1:15">
      <c r="A7" s="13" t="str">
        <f>Values!A3</f>
        <v>Medium</v>
      </c>
      <c r="B7" cm="1">
        <f t="array" ref="B7">SUMPRODUCT(--(Checklist!$E$10:$H$488=$A7)*--(Checklist!$F$10:$F$488=B$5))</f>
        <v>134</v>
      </c>
      <c r="C7" cm="1">
        <f t="array" ref="C7">SUMPRODUCT(--(Checklist!$E$10:$H$488=$A7)*--(Checklist!$F$10:$F$488=C$5))</f>
        <v>0</v>
      </c>
      <c r="D7" cm="1">
        <f t="array" ref="D7">SUMPRODUCT(--(Checklist!$E$10:$H$488=$A7)*--(Checklist!$F$10:$F$488=D$5))</f>
        <v>0</v>
      </c>
      <c r="E7" cm="1">
        <f t="array" ref="E7">SUMPRODUCT(--(Checklist!$E$10:$H$488=$A7)*--(Checklist!$F$10:$F$488=E$5))</f>
        <v>0</v>
      </c>
      <c r="F7" cm="1">
        <f t="array" ref="F7">SUMPRODUCT(--(Checklist!$E$10:$H$488=$A7)*--(Checklist!$F$10:$F$488=F$5))</f>
        <v>0</v>
      </c>
      <c r="G7">
        <f>SUM(B7:F7)</f>
        <v>134</v>
      </c>
      <c r="I7" s="13" t="str">
        <f>IF(Values!$C3="","",Values!$C3)</f>
        <v>Business</v>
      </c>
      <c r="J7" cm="1">
        <f t="array" ref="J7">IF($I7="","",SUMPRODUCT(--(Checklist!$A$10:$A$488=$I7)*--(Checklist!$F$10:$F$488=J$5)))</f>
        <v>64</v>
      </c>
      <c r="K7" cm="1">
        <f t="array" ref="K7">IF($I7="","",SUMPRODUCT(--(Checklist!$A$10:$A$488=$I7)*--(Checklist!$F$10:$F$488=K$5)))</f>
        <v>0</v>
      </c>
      <c r="L7" cm="1">
        <f t="array" ref="L7">IF($I7="","",SUMPRODUCT(--(Checklist!$A$10:$A$488=$I7)*--(Checklist!$F$10:$F$488=L$5)))</f>
        <v>0</v>
      </c>
      <c r="M7" cm="1">
        <f t="array" ref="M7">IF($I7="","",SUMPRODUCT(--(Checklist!$A$10:$A$488=$I7)*--(Checklist!$F$10:$F$488=M$5)))</f>
        <v>0</v>
      </c>
      <c r="N7" cm="1">
        <f t="array" ref="N7">IF($I7="","",SUMPRODUCT(--(Checklist!$A$10:$A$488=$I7)*--(Checklist!$F$10:$F$488=N$5)))</f>
        <v>0</v>
      </c>
      <c r="O7">
        <f t="shared" ref="O7:O13" si="0">IF($I7="","",SUM(J7:N7))</f>
        <v>64</v>
      </c>
    </row>
    <row r="8" spans="1:15">
      <c r="A8" s="13" t="str">
        <f>Values!A4</f>
        <v>Low</v>
      </c>
      <c r="B8" cm="1">
        <f t="array" ref="B8">SUMPRODUCT(--(Checklist!$E$10:$H$488=$A8)*--(Checklist!$F$10:$F$488=B$5))</f>
        <v>28</v>
      </c>
      <c r="C8" cm="1">
        <f t="array" ref="C8">SUMPRODUCT(--(Checklist!$E$10:$H$488=$A8)*--(Checklist!$F$10:$F$488=C$5))</f>
        <v>0</v>
      </c>
      <c r="D8" cm="1">
        <f t="array" ref="D8">SUMPRODUCT(--(Checklist!$E$10:$H$488=$A8)*--(Checklist!$F$10:$F$488=D$5))</f>
        <v>0</v>
      </c>
      <c r="E8" cm="1">
        <f t="array" ref="E8">SUMPRODUCT(--(Checklist!$E$10:$H$488=$A8)*--(Checklist!$F$10:$F$488=E$5))</f>
        <v>0</v>
      </c>
      <c r="F8" cm="1">
        <f t="array" ref="F8">SUMPRODUCT(--(Checklist!$E$10:$H$488=$A8)*--(Checklist!$F$10:$F$488=F$5))</f>
        <v>0</v>
      </c>
      <c r="G8">
        <f>SUM(B8:F8)</f>
        <v>28</v>
      </c>
      <c r="I8" s="13" t="str">
        <f>IF(Values!$C4="","",Values!$C4)</f>
        <v>Data</v>
      </c>
      <c r="J8" cm="1">
        <f t="array" ref="J8">IF($I8="","",SUMPRODUCT(--(Checklist!$A$10:$A$488=$I8)*--(Checklist!$F$10:$F$488=J$5)))</f>
        <v>9</v>
      </c>
      <c r="K8" cm="1">
        <f t="array" ref="K8">IF($I8="","",SUMPRODUCT(--(Checklist!$A$10:$A$488=$I8)*--(Checklist!$F$10:$F$488=K$5)))</f>
        <v>0</v>
      </c>
      <c r="L8" cm="1">
        <f t="array" ref="L8">IF($I8="","",SUMPRODUCT(--(Checklist!$A$10:$A$488=$I8)*--(Checklist!$F$10:$F$488=L$5)))</f>
        <v>0</v>
      </c>
      <c r="M8" cm="1">
        <f t="array" ref="M8">IF($I8="","",SUMPRODUCT(--(Checklist!$A$10:$A$488=$I8)*--(Checklist!$F$10:$F$488=M$5)))</f>
        <v>0</v>
      </c>
      <c r="N8" cm="1">
        <f t="array" ref="N8">IF($I8="","",SUMPRODUCT(--(Checklist!$A$10:$A$488=$I8)*--(Checklist!$F$10:$F$488=N$5)))</f>
        <v>0</v>
      </c>
      <c r="O8">
        <f t="shared" si="0"/>
        <v>9</v>
      </c>
    </row>
    <row r="9" spans="1:15">
      <c r="B9">
        <f t="shared" ref="B9:G9" si="1">SUM(B6:B8)</f>
        <v>196</v>
      </c>
      <c r="C9">
        <f t="shared" si="1"/>
        <v>0</v>
      </c>
      <c r="D9">
        <f t="shared" si="1"/>
        <v>0</v>
      </c>
      <c r="E9">
        <f t="shared" si="1"/>
        <v>0</v>
      </c>
      <c r="F9">
        <f t="shared" si="1"/>
        <v>0</v>
      </c>
      <c r="G9" s="13">
        <f t="shared" si="1"/>
        <v>196</v>
      </c>
      <c r="I9" s="13" t="str">
        <f>IF(Values!$C5="","",Values!$C5)</f>
        <v>Governance</v>
      </c>
      <c r="J9" cm="1">
        <f t="array" ref="J9">IF($I9="","",SUMPRODUCT(--(Checklist!$A$10:$A$488=$I9)*--(Checklist!$F$10:$F$488=J$5)))</f>
        <v>27</v>
      </c>
      <c r="K9" cm="1">
        <f t="array" ref="K9">IF($I9="","",SUMPRODUCT(--(Checklist!$A$10:$A$488=$I9)*--(Checklist!$F$10:$F$488=K$5)))</f>
        <v>0</v>
      </c>
      <c r="L9" cm="1">
        <f t="array" ref="L9">IF($I9="","",SUMPRODUCT(--(Checklist!$A$10:$A$488=$I9)*--(Checklist!$F$10:$F$488=L$5)))</f>
        <v>0</v>
      </c>
      <c r="M9" cm="1">
        <f t="array" ref="M9">IF($I9="","",SUMPRODUCT(--(Checklist!$A$10:$A$488=$I9)*--(Checklist!$F$10:$F$488=M$5)))</f>
        <v>0</v>
      </c>
      <c r="N9" cm="1">
        <f t="array" ref="N9">IF($I9="","",SUMPRODUCT(--(Checklist!$A$10:$A$488=$I9)*--(Checklist!$F$10:$F$488=N$5)))</f>
        <v>0</v>
      </c>
      <c r="O9">
        <f t="shared" si="0"/>
        <v>27</v>
      </c>
    </row>
    <row r="10" spans="1:15">
      <c r="I10" s="13" t="str">
        <f>IF(Values!$C6="","",Values!$C6)</f>
        <v>Infrastructure</v>
      </c>
      <c r="J10" cm="1">
        <f t="array" ref="J10">IF($I10="","",SUMPRODUCT(--(Checklist!$A$10:$A$488=$I10)*--(Checklist!$F$10:$F$488=J$5)))</f>
        <v>28</v>
      </c>
      <c r="K10" cm="1">
        <f t="array" ref="K10">IF($I10="","",SUMPRODUCT(--(Checklist!$A$10:$A$488=$I10)*--(Checklist!$F$10:$F$488=K$5)))</f>
        <v>0</v>
      </c>
      <c r="L10" cm="1">
        <f t="array" ref="L10">IF($I10="","",SUMPRODUCT(--(Checklist!$A$10:$A$488=$I10)*--(Checklist!$F$10:$F$488=L$5)))</f>
        <v>0</v>
      </c>
      <c r="M10" cm="1">
        <f t="array" ref="M10">IF($I10="","",SUMPRODUCT(--(Checklist!$A$10:$A$488=$I10)*--(Checklist!$F$10:$F$488=M$5)))</f>
        <v>0</v>
      </c>
      <c r="N10" cm="1">
        <f t="array" ref="N10">IF($I10="","",SUMPRODUCT(--(Checklist!$A$10:$A$488=$I10)*--(Checklist!$F$10:$F$488=N$5)))</f>
        <v>0</v>
      </c>
      <c r="O10">
        <f t="shared" si="0"/>
        <v>28</v>
      </c>
    </row>
    <row r="11" spans="1:15">
      <c r="I11" s="13" t="str">
        <f>IF(Values!$C7="","",Values!$C7)</f>
        <v>Microservices</v>
      </c>
      <c r="J11" cm="1">
        <f t="array" ref="J11">IF($I11="","",SUMPRODUCT(--(Checklist!$A$10:$A$488=$I11)*--(Checklist!$F$10:$F$488=J$5)))</f>
        <v>32</v>
      </c>
      <c r="K11" cm="1">
        <f t="array" ref="K11">IF($I11="","",SUMPRODUCT(--(Checklist!$A$10:$A$488=$I11)*--(Checklist!$F$10:$F$488=K$5)))</f>
        <v>0</v>
      </c>
      <c r="L11" cm="1">
        <f t="array" ref="L11">IF($I11="","",SUMPRODUCT(--(Checklist!$A$10:$A$488=$I11)*--(Checklist!$F$10:$F$488=L$5)))</f>
        <v>0</v>
      </c>
      <c r="M11" cm="1">
        <f t="array" ref="M11">IF($I11="","",SUMPRODUCT(--(Checklist!$A$10:$A$488=$I11)*--(Checklist!$F$10:$F$488=M$5)))</f>
        <v>0</v>
      </c>
      <c r="N11" cm="1">
        <f t="array" ref="N11">IF($I11="","",SUMPRODUCT(--(Checklist!$A$10:$A$488=$I11)*--(Checklist!$F$10:$F$488=N$5)))</f>
        <v>0</v>
      </c>
      <c r="O11">
        <f t="shared" si="0"/>
        <v>32</v>
      </c>
    </row>
    <row r="12" spans="1:15">
      <c r="I12" s="13" t="str">
        <f>IF(Values!$C8="","",Values!$C8)</f>
        <v>Observability</v>
      </c>
      <c r="J12" cm="1">
        <f t="array" ref="J12">IF($I12="","",SUMPRODUCT(--(Checklist!$A$10:$A$488=$I12)*--(Checklist!$F$10:$F$488=J$5)))</f>
        <v>11</v>
      </c>
      <c r="K12" cm="1">
        <f t="array" ref="K12">IF($I12="","",SUMPRODUCT(--(Checklist!$A$10:$A$488=$I12)*--(Checklist!$F$10:$F$488=K$5)))</f>
        <v>0</v>
      </c>
      <c r="L12" cm="1">
        <f t="array" ref="L12">IF($I12="","",SUMPRODUCT(--(Checklist!$A$10:$A$488=$I12)*--(Checklist!$F$10:$F$488=L$5)))</f>
        <v>0</v>
      </c>
      <c r="M12" cm="1">
        <f t="array" ref="M12">IF($I12="","",SUMPRODUCT(--(Checklist!$A$10:$A$488=$I12)*--(Checklist!$F$10:$F$488=M$5)))</f>
        <v>0</v>
      </c>
      <c r="N12" cm="1">
        <f t="array" ref="N12">IF($I12="","",SUMPRODUCT(--(Checklist!$A$10:$A$488=$I12)*--(Checklist!$F$10:$F$488=N$5)))</f>
        <v>0</v>
      </c>
      <c r="O12">
        <f t="shared" si="0"/>
        <v>11</v>
      </c>
    </row>
    <row r="13" spans="1:15">
      <c r="I13" s="13" t="str">
        <f>IF(Values!$C9="","",Values!$C9)</f>
        <v>Resiliency</v>
      </c>
      <c r="J13" cm="1">
        <f t="array" ref="J13">IF($I13="","",SUMPRODUCT(--(Checklist!$A$10:$A$488=$I13)*--(Checklist!$F$10:$F$488=J$5)))</f>
        <v>11</v>
      </c>
      <c r="K13" cm="1">
        <f t="array" ref="K13">IF($I13="","",SUMPRODUCT(--(Checklist!$A$10:$A$488=$I13)*--(Checklist!$F$10:$F$488=K$5)))</f>
        <v>0</v>
      </c>
      <c r="L13" cm="1">
        <f t="array" ref="L13">IF($I13="","",SUMPRODUCT(--(Checklist!$A$10:$A$488=$I13)*--(Checklist!$F$10:$F$488=L$5)))</f>
        <v>0</v>
      </c>
      <c r="M13" cm="1">
        <f t="array" ref="M13">IF($I13="","",SUMPRODUCT(--(Checklist!$A$10:$A$488=$I13)*--(Checklist!$F$10:$F$488=M$5)))</f>
        <v>0</v>
      </c>
      <c r="N13" cm="1">
        <f t="array" ref="N13">IF($I13="","",SUMPRODUCT(--(Checklist!$A$10:$A$488=$I13)*--(Checklist!$F$10:$F$488=N$5)))</f>
        <v>0</v>
      </c>
      <c r="O13">
        <f t="shared" si="0"/>
        <v>11</v>
      </c>
    </row>
    <row r="14" spans="1:15">
      <c r="J14">
        <f>SUM(J6:J13)</f>
        <v>183</v>
      </c>
      <c r="K14">
        <f>SUM(K6:K13)</f>
        <v>0</v>
      </c>
      <c r="L14">
        <f>SUM(L6:L13)</f>
        <v>0</v>
      </c>
      <c r="M14">
        <f>SUM(M6:M13)</f>
        <v>0</v>
      </c>
      <c r="N14">
        <f>SUM(N6:N13)</f>
        <v>0</v>
      </c>
      <c r="O14" s="13">
        <f>SUM(O6:O13)</f>
        <v>183</v>
      </c>
    </row>
    <row r="20" spans="16:21">
      <c r="P20" s="13" t="s">
        <v>15</v>
      </c>
      <c r="Q20" s="13" t="str">
        <f>Values!$B$2</f>
        <v>Not verified</v>
      </c>
      <c r="R20" s="13" t="str">
        <f>Values!$B$3</f>
        <v>Open</v>
      </c>
      <c r="S20" s="13" t="s">
        <v>18</v>
      </c>
      <c r="T20" s="13" t="s">
        <v>16</v>
      </c>
      <c r="U20" s="13" t="s">
        <v>17</v>
      </c>
    </row>
    <row r="21" spans="16:21">
      <c r="P21" s="13" t="str">
        <f>IF(Values!$C2="","",Values!$C2)</f>
        <v>AI</v>
      </c>
      <c r="Q21" cm="1">
        <f t="array" ref="Q21">IF($P21="","",SUMPRODUCT(--(Checklist!$A$10:$A$488=$P21)*--(Checklist!$F$10:$F$488=Q$20)))</f>
        <v>1</v>
      </c>
      <c r="R21" cm="1">
        <f t="array" ref="R21">IF($P21="","",SUMPRODUCT(--(Checklist!$A$10:$A$488=$P21)*--(Checklist!$F$10:$F$488=R$20)))</f>
        <v>0</v>
      </c>
      <c r="S21" cm="1">
        <f t="array" ref="S21">IF($P21="","",SUMPRODUCT(--(Checklist!$A$10:$A$488=$P21)*(--(Checklist!$F$10:$F$488=Values!$B$4)+--(Checklist!$F$10:$F$488=Values!$B$5)+--(Checklist!$F$10:$F$488=Values!$B$6))))</f>
        <v>0</v>
      </c>
      <c r="T21">
        <f>IF($P21="","",SUM(Q21:S21))</f>
        <v>1</v>
      </c>
      <c r="U21" s="15">
        <f>IF($P21="","",S21/T21)</f>
        <v>0</v>
      </c>
    </row>
    <row r="22" spans="16:21">
      <c r="P22" s="13" t="str">
        <f>IF(Values!$C3="","",Values!$C3)</f>
        <v>Business</v>
      </c>
      <c r="Q22" cm="1">
        <f t="array" ref="Q22">IF($P22="","",SUMPRODUCT(--(Checklist!$A$10:$A$488=$P22)*--(Checklist!$F$10:$F$488=Q$20)))</f>
        <v>64</v>
      </c>
      <c r="R22" cm="1">
        <f t="array" ref="R22">IF($P22="","",SUMPRODUCT(--(Checklist!$A$10:$A$488=$P22)*--(Checklist!$F$10:$F$488=R$20)))</f>
        <v>0</v>
      </c>
      <c r="S22" cm="1">
        <f t="array" ref="S22">IF($P22="","",SUMPRODUCT(--(Checklist!$A$10:$A$488=$P22)*(--(Checklist!$F$10:$F$488=Values!$B$4)+--(Checklist!$F$10:$F$488=Values!$B$5)+--(Checklist!$F$10:$F$488=Values!$B$6))))</f>
        <v>0</v>
      </c>
      <c r="T22">
        <f t="shared" ref="T22:T27" si="2">IF($P22="","",SUM(Q22:S22))</f>
        <v>64</v>
      </c>
      <c r="U22" s="15">
        <f t="shared" ref="U22:U27" si="3">IF($P22="","",S22/T22)</f>
        <v>0</v>
      </c>
    </row>
    <row r="23" spans="16:21">
      <c r="P23" s="13" t="str">
        <f>IF(Values!$C4="","",Values!$C4)</f>
        <v>Data</v>
      </c>
      <c r="Q23" cm="1">
        <f t="array" ref="Q23">IF($P23="","",SUMPRODUCT(--(Checklist!$A$10:$A$488=$P23)*--(Checklist!$F$10:$F$488=Q$20)))</f>
        <v>9</v>
      </c>
      <c r="R23" cm="1">
        <f t="array" ref="R23">IF($P23="","",SUMPRODUCT(--(Checklist!$A$10:$A$488=$P23)*--(Checklist!$F$10:$F$488=R$20)))</f>
        <v>0</v>
      </c>
      <c r="S23" cm="1">
        <f t="array" ref="S23">IF($P23="","",SUMPRODUCT(--(Checklist!$A$10:$A$488=$P23)*(--(Checklist!$F$10:$F$488=Values!$B$4)+--(Checklist!$F$10:$F$488=Values!$B$5)+--(Checklist!$F$10:$F$488=Values!$B$6))))</f>
        <v>0</v>
      </c>
      <c r="T23">
        <f t="shared" si="2"/>
        <v>9</v>
      </c>
      <c r="U23" s="15">
        <f t="shared" si="3"/>
        <v>0</v>
      </c>
    </row>
    <row r="24" spans="16:21">
      <c r="P24" s="13" t="str">
        <f>IF(Values!$C5="","",Values!$C5)</f>
        <v>Governance</v>
      </c>
      <c r="Q24" cm="1">
        <f t="array" ref="Q24">IF($P24="","",SUMPRODUCT(--(Checklist!$A$10:$A$488=$P24)*--(Checklist!$F$10:$F$488=Q$20)))</f>
        <v>27</v>
      </c>
      <c r="R24" cm="1">
        <f t="array" ref="R24">IF($P24="","",SUMPRODUCT(--(Checklist!$A$10:$A$488=$P24)*--(Checklist!$F$10:$F$488=R$20)))</f>
        <v>0</v>
      </c>
      <c r="S24" cm="1">
        <f t="array" ref="S24">IF($P24="","",SUMPRODUCT(--(Checklist!$A$10:$A$488=$P24)*(--(Checklist!$F$10:$F$488=Values!$B$4)+--(Checklist!$F$10:$F$488=Values!$B$5)+--(Checklist!$F$10:$F$488=Values!$B$6))))</f>
        <v>0</v>
      </c>
      <c r="T24">
        <f t="shared" si="2"/>
        <v>27</v>
      </c>
      <c r="U24" s="15">
        <f t="shared" si="3"/>
        <v>0</v>
      </c>
    </row>
    <row r="25" spans="16:21">
      <c r="P25" s="13" t="str">
        <f>IF(Values!$C6="","",Values!$C6)</f>
        <v>Infrastructure</v>
      </c>
      <c r="Q25" cm="1">
        <f t="array" ref="Q25">IF($P25="","",SUMPRODUCT(--(Checklist!$A$10:$A$488=$P25)*--(Checklist!$F$10:$F$488=Q$20)))</f>
        <v>28</v>
      </c>
      <c r="R25" cm="1">
        <f t="array" ref="R25">IF($P25="","",SUMPRODUCT(--(Checklist!$A$10:$A$488=$P25)*--(Checklist!$F$10:$F$488=R$20)))</f>
        <v>0</v>
      </c>
      <c r="S25" cm="1">
        <f t="array" ref="S25">IF($P25="","",SUMPRODUCT(--(Checklist!$A$10:$A$488=$P25)*(--(Checklist!$F$10:$F$488=Values!$B$4)+--(Checklist!$F$10:$F$488=Values!$B$5)+--(Checklist!$F$10:$F$488=Values!$B$6))))</f>
        <v>0</v>
      </c>
      <c r="T25">
        <f t="shared" si="2"/>
        <v>28</v>
      </c>
      <c r="U25" s="15">
        <f t="shared" si="3"/>
        <v>0</v>
      </c>
    </row>
    <row r="26" spans="16:21">
      <c r="P26" s="13" t="str">
        <f>IF(Values!$C7="","",Values!$C7)</f>
        <v>Microservices</v>
      </c>
      <c r="Q26" cm="1">
        <f t="array" ref="Q26">IF($P26="","",SUMPRODUCT(--(Checklist!$A$10:$A$488=$P26)*--(Checklist!$F$10:$F$488=Q$20)))</f>
        <v>32</v>
      </c>
      <c r="R26" cm="1">
        <f t="array" ref="R26">IF($P26="","",SUMPRODUCT(--(Checklist!$A$10:$A$488=$P26)*--(Checklist!$F$10:$F$488=R$20)))</f>
        <v>0</v>
      </c>
      <c r="S26" cm="1">
        <f t="array" ref="S26">IF($P26="","",SUMPRODUCT(--(Checklist!$A$10:$A$488=$P26)*(--(Checklist!$F$10:$F$488=Values!$B$4)+--(Checklist!$F$10:$F$488=Values!$B$5)+--(Checklist!$F$10:$F$488=Values!$B$6))))</f>
        <v>0</v>
      </c>
      <c r="T26">
        <f t="shared" si="2"/>
        <v>32</v>
      </c>
      <c r="U26" s="15">
        <f t="shared" si="3"/>
        <v>0</v>
      </c>
    </row>
    <row r="27" spans="16:21">
      <c r="P27" s="13" t="str">
        <f>IF(Values!$C8="","",Values!$C8)</f>
        <v>Observability</v>
      </c>
      <c r="Q27" cm="1">
        <f t="array" ref="Q27">IF($P27="","",SUMPRODUCT(--(Checklist!$A$10:$A$488=$P27)*--(Checklist!$F$10:$F$488=Q$20)))</f>
        <v>11</v>
      </c>
      <c r="R27" cm="1">
        <f t="array" ref="R27">IF($P27="","",SUMPRODUCT(--(Checklist!$A$10:$A$488=$P27)*--(Checklist!$F$10:$F$488=R$20)))</f>
        <v>0</v>
      </c>
      <c r="S27" cm="1">
        <f t="array" ref="S27">IF($P27="","",SUMPRODUCT(--(Checklist!$A$10:$A$488=$P27)*(--(Checklist!$F$10:$F$488=Values!$B$4)+--(Checklist!$F$10:$F$488=Values!$B$5)+--(Checklist!$F$10:$F$488=Values!$B$6))))</f>
        <v>0</v>
      </c>
      <c r="T27">
        <f t="shared" si="2"/>
        <v>11</v>
      </c>
      <c r="U27" s="15">
        <f t="shared" si="3"/>
        <v>0</v>
      </c>
    </row>
    <row r="28" spans="16:21">
      <c r="P28" s="13" t="str">
        <f>IF(Values!$C9="","",Values!$C9)</f>
        <v>Resiliency</v>
      </c>
      <c r="Q28" cm="1">
        <f t="array" ref="Q28">IF($P28="","",SUMPRODUCT(--(Checklist!$A$10:$A$488=$P28)*--(Checklist!$F$10:$F$488=Q$20)))</f>
        <v>11</v>
      </c>
      <c r="R28" cm="1">
        <f t="array" ref="R28">IF($P28="","",SUMPRODUCT(--(Checklist!$A$10:$A$488=$P28)*--(Checklist!$F$10:$F$488=R$20)))</f>
        <v>0</v>
      </c>
      <c r="S28" cm="1">
        <f t="array" ref="S28">IF($P28="","",SUMPRODUCT(--(Checklist!$A$10:$A$488=$P28)*(--(Checklist!$F$10:$F$488=Values!$B$4)+--(Checklist!$F$10:$F$488=Values!$B$5)+--(Checklist!$F$10:$F$488=Values!$B$6))))</f>
        <v>0</v>
      </c>
      <c r="T28">
        <f>IF($P28="","",SUM(Q28:S28))</f>
        <v>11</v>
      </c>
      <c r="U28" s="15">
        <f>IF($P28="","",S28/T28)</f>
        <v>0</v>
      </c>
    </row>
    <row r="29" spans="16:21">
      <c r="Q29">
        <f>SUM(Q21:Q28)</f>
        <v>183</v>
      </c>
      <c r="R29">
        <f>SUM(R21:R28)</f>
        <v>0</v>
      </c>
      <c r="S29">
        <f>SUM(S21:S28)</f>
        <v>0</v>
      </c>
      <c r="T29" s="13">
        <f>SUM(T21:T28)</f>
        <v>183</v>
      </c>
      <c r="U29" s="16">
        <f>IF(T29=0,0,S29/T29)</f>
        <v>0</v>
      </c>
    </row>
    <row r="49" spans="1:6">
      <c r="A49" s="13" t="s">
        <v>73</v>
      </c>
    </row>
    <row r="50" spans="1:6">
      <c r="B50" t="s">
        <v>70</v>
      </c>
      <c r="C50" t="s">
        <v>71</v>
      </c>
      <c r="D50" s="36" t="s">
        <v>72</v>
      </c>
      <c r="E50" t="s">
        <v>17</v>
      </c>
    </row>
    <row r="51" spans="1:6">
      <c r="A51" t="s">
        <v>63</v>
      </c>
      <c r="B51" s="36" cm="1">
        <f t="array" ref="B51">SUMPRODUCT(--(Checklist!$F$10:$F$300=Values!$B$4),Checklist!$L$10:$L$300,--(Checklist!$L$10:$L$300&lt;0))+SUMPRODUCT(--(Checklist!$F$10:$F$300=Values!$B$6),Checklist!$L$10:$L$300,--(Checklist!$L$10:$L$300&lt;0))+SUMPRODUCT(--(Checklist!$F$10:$F$300=Values!$B$3),Checklist!$L$10:$L$300,--(Checklist!$L$10:$L$300&lt;0))</f>
        <v>0</v>
      </c>
      <c r="C51" s="36" cm="1">
        <f t="array" ref="C51">SUMPRODUCT(--(Checklist!$F$10:$F$300=Values!$B$4),Checklist!$L$10:$L$300,--(Checklist!$L$10:$L$300&gt;0))+SUMPRODUCT(--(Checklist!$F$10:$F$300=Values!$B$6),Checklist!$L$10:$L$300,--(Checklist!$L$10:$L$300&gt;0))+SUMPRODUCT(--(Checklist!$F$10:$F$300=Values!$B$3),Checklist!$L$10:$L$300,--(Checklist!$L$10:$L$300&gt;0))</f>
        <v>0</v>
      </c>
      <c r="D51" s="36" cm="1">
        <f t="array" ref="D51">SUMPRODUCT(--(Checklist!$F$10:$F$300=Values!$B$4),Checklist!$L$10:$L$300)+SUMPRODUCT(--(Checklist!$F$10:$F$300=Values!$B$3),Checklist!$L$10:$L$300)</f>
        <v>0</v>
      </c>
      <c r="E51" s="15">
        <f>IF((C51-B51)=0,1,(D51-B51)/(C51-B51))</f>
        <v>1</v>
      </c>
      <c r="F51" s="15"/>
    </row>
    <row r="52" spans="1:6">
      <c r="A52" t="s">
        <v>66</v>
      </c>
      <c r="B52" s="36" cm="1">
        <f t="array" ref="B52">SUMPRODUCT(--(Checklist!$F$10:$F$300=Values!$B$4),Checklist!$M$10:$M$300,--(Checklist!$M$10:$M$300&lt;0))+SUMPRODUCT(--(Checklist!$F$10:$F$300=Values!$B$6),Checklist!$M$10:$M$300,--(Checklist!$M$10:$M$300&lt;0))+SUMPRODUCT(--(Checklist!$F$10:$F$300=Values!$B$3),Checklist!$M$10:$M$300,--(Checklist!$M$10:$M$300&lt;0))</f>
        <v>0</v>
      </c>
      <c r="C52" s="36" cm="1">
        <f t="array" ref="C52">SUMPRODUCT(--(Checklist!$F$10:$F$300=Values!$B$4),Checklist!$M$10:$M$300,--(Checklist!$M$10:$M$300&gt;0))+SUMPRODUCT(--(Checklist!$F$10:$F$300=Values!$B$6),Checklist!$M$10:$M$300,--(Checklist!$M$10:$M$300&gt;0))+SUMPRODUCT(--(Checklist!$F$10:$F$300=Values!$B$3),Checklist!$M$10:$M$300,--(Checklist!$M$10:$M$300&gt;0))</f>
        <v>0</v>
      </c>
      <c r="D52" s="36" cm="1">
        <f t="array" ref="D52">SUMPRODUCT(--(Checklist!$F$10:$F$300=Values!$B$4),Checklist!$M$10:$M$300)+SUMPRODUCT(--(Checklist!$F$10:$F$300=Values!$B$3),Checklist!$M$10:$M$300)</f>
        <v>0</v>
      </c>
      <c r="E52" s="15">
        <f t="shared" ref="E52:E55" si="4">IF((C52-B52)=0,1,(D52-B52)/(C52-B52))</f>
        <v>1</v>
      </c>
      <c r="F52" s="15"/>
    </row>
    <row r="53" spans="1:6">
      <c r="A53" t="s">
        <v>68</v>
      </c>
      <c r="B53" s="36" cm="1">
        <f t="array" ref="B53">SUMPRODUCT(--(Checklist!$F$10:$F$300=Values!$B$4),Checklist!$N$10:$N$300,--(Checklist!$N$10:$N$300&lt;0))+SUMPRODUCT(--(Checklist!$F$10:$F$300=Values!$B$6),Checklist!$N$10:$N$300,--(Checklist!$N$10:$N$300&lt;0))+SUMPRODUCT(--(Checklist!$F$10:$F$300=Values!$B$3),Checklist!$N$10:$N$300,--(Checklist!$N$10:$N$300&lt;0))</f>
        <v>0</v>
      </c>
      <c r="C53" s="36" cm="1">
        <f t="array" ref="C53">SUMPRODUCT(--(Checklist!$F$10:$F$300=Values!$B$4),Checklist!$N$10:$N$300,--(Checklist!$N$10:$N$300&gt;0))+SUMPRODUCT(--(Checklist!$F$10:$F$300=Values!$B$6),Checklist!$N$10:$N$300,--(Checklist!$N$10:$N$300&gt;0))+SUMPRODUCT(--(Checklist!$F$10:$F$300=Values!$B$3),Checklist!$N$10:$N$300,--(Checklist!$N$10:$N$300&gt;0))</f>
        <v>0</v>
      </c>
      <c r="D53" s="36" cm="1">
        <f t="array" ref="D53">SUMPRODUCT(--(Checklist!$F$10:$F$300=Values!$B$4),Checklist!$N$10:$N$300)+SUMPRODUCT(--(Checklist!$F$10:$F$300=Values!$B$3),Checklist!$N$10:$N$300)</f>
        <v>0</v>
      </c>
      <c r="E53" s="15">
        <f t="shared" si="4"/>
        <v>1</v>
      </c>
      <c r="F53" s="15"/>
    </row>
    <row r="54" spans="1:6">
      <c r="A54" t="s">
        <v>64</v>
      </c>
      <c r="B54" s="36" cm="1">
        <f t="array" ref="B54">SUMPRODUCT(--(Checklist!$F$10:$F$300=Values!$B$4),Checklist!$O$10:$O$300,--(Checklist!$O$10:$O$300&lt;0))+SUMPRODUCT(--(Checklist!$F$10:$F$300=Values!$B$6),Checklist!$O$10:$O$300,--(Checklist!$O$10:$O$300&lt;0))+SUMPRODUCT(--(Checklist!$F$10:$F$300=Values!$B$3),Checklist!$O$10:$O$300,--(Checklist!$O$10:$O$300&lt;0))</f>
        <v>0</v>
      </c>
      <c r="C54" s="36" cm="1">
        <f t="array" ref="C54">SUMPRODUCT(--(Checklist!$F$10:$F$300=Values!$B$4),Checklist!$O$10:$O$300,--(Checklist!$O$10:$O$300&gt;0))+SUMPRODUCT(--(Checklist!$F$10:$F$300=Values!$B$6),Checklist!$O$10:$O$300,--(Checklist!$O$10:$O$300&gt;0))+SUMPRODUCT(--(Checklist!$F$10:$F$300=Values!$B$3),Checklist!$O$10:$O$300,--(Checklist!$O$10:$O$300&gt;0))</f>
        <v>0</v>
      </c>
      <c r="D54" s="36" cm="1">
        <f t="array" ref="D54">SUMPRODUCT(--(Checklist!$F$10:$F$300=Values!$B$4),Checklist!$O$10:$O$300)+SUMPRODUCT(--(Checklist!$F$10:$F$300=Values!$B$3),Checklist!$O$10:$O$300)</f>
        <v>0</v>
      </c>
      <c r="E54" s="15">
        <f t="shared" si="4"/>
        <v>1</v>
      </c>
      <c r="F54" s="15"/>
    </row>
    <row r="55" spans="1:6">
      <c r="A55" t="s">
        <v>67</v>
      </c>
      <c r="B55" s="36" cm="1">
        <f t="array" ref="B55">SUMPRODUCT(--(Checklist!$F$10:$F$300=Values!$B$4),Checklist!$P$10:$P$300,--(Checklist!$P$10:$P$300&lt;0))+SUMPRODUCT(--(Checklist!$F$10:$F$300=Values!$B$6),Checklist!$P$10:$P$300,--(Checklist!$P$10:$P$300&lt;0))+SUMPRODUCT(--(Checklist!$F$10:$F$300=Values!$B$3),Checklist!$P$10:$P$300,--(Checklist!$P$10:$P$300&lt;0))</f>
        <v>0</v>
      </c>
      <c r="C55" s="36" cm="1">
        <f t="array" ref="C55">SUMPRODUCT(--(Checklist!$F$10:$F$300=Values!$B$4),Checklist!$P$10:$P$300,--(Checklist!$P$10:$P$300&gt;0))+SUMPRODUCT(--(Checklist!$F$10:$F$300=Values!$B$6),Checklist!$P$10:$P$300,--(Checklist!$P$10:$P$300&gt;0))+SUMPRODUCT(--(Checklist!$F$10:$F$300=Values!$B$3),Checklist!$P$10:$P$300,--(Checklist!$P$10:$P$300&gt;0))</f>
        <v>0</v>
      </c>
      <c r="D55" s="36" cm="1">
        <f t="array" ref="D55">SUMPRODUCT(--(Checklist!$F$10:$F$300=Values!$B$4),Checklist!$P$10:$P$300)+SUMPRODUCT(--(Checklist!$F$10:$F$300=Values!$B$3),Checklist!$P$10:$P$300)</f>
        <v>0</v>
      </c>
      <c r="E55" s="15">
        <f t="shared" si="4"/>
        <v>1</v>
      </c>
      <c r="F55" s="15"/>
    </row>
  </sheetData>
  <dataConsolidate/>
  <conditionalFormatting sqref="E51:F55">
    <cfRule type="dataBar" priority="1">
      <dataBar>
        <cfvo type="min"/>
        <cfvo type="max"/>
        <color rgb="FF63C384"/>
      </dataBar>
      <extLst>
        <ext xmlns:x14="http://schemas.microsoft.com/office/spreadsheetml/2009/9/main" uri="{B025F937-C7B1-47D3-B67F-A62EFF666E3E}">
          <x14:id>{92446CB2-5B22-473A-BF5C-0250EB2C71A6}</x14:id>
        </ext>
      </extLst>
    </cfRule>
  </conditionalFormatting>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92446CB2-5B22-473A-BF5C-0250EB2C71A6}">
            <x14:dataBar minLength="0" maxLength="100" gradient="0">
              <x14:cfvo type="autoMin"/>
              <x14:cfvo type="autoMax"/>
              <x14:negativeFillColor rgb="FFFF0000"/>
              <x14:axisColor rgb="FF000000"/>
            </x14:dataBar>
          </x14:cfRule>
          <xm:sqref>E51:F55</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A4B7A3-F207-4AF4-8579-95FFC9A7072F}">
  <sheetPr codeName="Sheet1"/>
  <dimension ref="A1:P305"/>
  <sheetViews>
    <sheetView showGridLines="0" tabSelected="1" zoomScale="80" zoomScaleNormal="80" workbookViewId="0">
      <selection activeCell="G16" sqref="G16"/>
    </sheetView>
  </sheetViews>
  <sheetFormatPr defaultColWidth="9" defaultRowHeight="16.5"/>
  <cols>
    <col min="1" max="1" width="19" style="1" customWidth="1"/>
    <col min="2" max="2" width="50.7109375" style="1" bestFit="1" customWidth="1"/>
    <col min="3" max="3" width="94.5703125" style="2" customWidth="1"/>
    <col min="4" max="4" width="34.140625" style="2" customWidth="1"/>
    <col min="5" max="5" width="16.140625" style="2" customWidth="1"/>
    <col min="6" max="6" width="18.7109375" style="2" customWidth="1"/>
    <col min="7" max="7" width="76" style="2" customWidth="1"/>
    <col min="8" max="8" width="60.140625" style="2" bestFit="1" customWidth="1"/>
    <col min="9" max="9" width="14.5703125" style="2" customWidth="1"/>
    <col min="10" max="10" width="11.42578125" style="2" customWidth="1"/>
    <col min="11" max="11" width="46.140625" style="2" customWidth="1"/>
    <col min="12" max="12" width="10.85546875" style="2" customWidth="1"/>
    <col min="13" max="13" width="10.28515625" style="2" customWidth="1"/>
    <col min="14" max="14" width="9.85546875" style="2" customWidth="1"/>
    <col min="15" max="16" width="10.28515625" style="2" customWidth="1"/>
    <col min="17" max="16384" width="9" style="2"/>
  </cols>
  <sheetData>
    <row r="1" spans="1:16" ht="17.25" thickBot="1"/>
    <row r="2" spans="1:16" ht="55.5" customHeight="1" thickBot="1">
      <c r="A2" s="39"/>
      <c r="B2" s="39"/>
      <c r="C2" s="12" t="s">
        <v>12</v>
      </c>
      <c r="D2" s="22"/>
      <c r="E2" s="38" t="s">
        <v>30</v>
      </c>
      <c r="F2" s="23" t="s">
        <v>34</v>
      </c>
      <c r="G2" s="28" t="s">
        <v>41</v>
      </c>
    </row>
    <row r="3" spans="1:16" ht="17.25">
      <c r="A3" s="25"/>
      <c r="B3" s="25"/>
      <c r="C3" s="12"/>
      <c r="D3" s="12"/>
      <c r="E3" s="26"/>
      <c r="F3" s="27"/>
      <c r="G3" s="28"/>
    </row>
    <row r="4" spans="1:16" ht="17.25" customHeight="1">
      <c r="A4" s="25"/>
      <c r="B4" s="25"/>
      <c r="C4" s="12"/>
      <c r="D4" s="12"/>
      <c r="E4" s="2" t="str">
        <f>Values!B2</f>
        <v>Not verified</v>
      </c>
      <c r="F4" s="30" t="str">
        <f>Values!H2</f>
        <v>This check has not been looked at yet</v>
      </c>
      <c r="G4" s="24"/>
    </row>
    <row r="5" spans="1:16">
      <c r="A5" s="25"/>
      <c r="B5" s="25"/>
      <c r="C5" s="12"/>
      <c r="D5" s="12"/>
      <c r="E5" s="2" t="str">
        <f>Values!B3</f>
        <v>Open</v>
      </c>
      <c r="F5" s="30" t="str">
        <f>Values!H3</f>
        <v>There is an action item associated to this check</v>
      </c>
      <c r="G5" s="24"/>
    </row>
    <row r="6" spans="1:16" s="5" customFormat="1" ht="17.25" customHeight="1">
      <c r="A6" s="17" t="s">
        <v>93</v>
      </c>
      <c r="B6" s="4"/>
      <c r="C6" s="4"/>
      <c r="D6" s="4"/>
      <c r="E6" s="2" t="str">
        <f>Values!B4</f>
        <v>Fulfilled</v>
      </c>
      <c r="F6" s="30" t="str">
        <f>Values!H4</f>
        <v>This check has been verified, and there are no further action items associated to it</v>
      </c>
      <c r="G6" s="4"/>
      <c r="H6" s="4"/>
    </row>
    <row r="7" spans="1:16">
      <c r="A7" s="3"/>
      <c r="B7" s="3"/>
      <c r="C7" s="7"/>
      <c r="D7" s="7"/>
      <c r="E7" s="2" t="str">
        <f>Values!B5</f>
        <v>Not required</v>
      </c>
      <c r="F7" s="30" t="str">
        <f>Values!H5</f>
        <v>Recommendation understood, but not needed by current requirements</v>
      </c>
      <c r="G7" s="3"/>
      <c r="H7" s="3"/>
    </row>
    <row r="8" spans="1:16">
      <c r="A8" s="3"/>
      <c r="B8" s="3"/>
      <c r="C8" s="7"/>
      <c r="D8" s="7"/>
      <c r="E8" s="2" t="str">
        <f>Values!B6</f>
        <v>N/A</v>
      </c>
      <c r="F8" s="30" t="str">
        <f>Values!H6</f>
        <v>Not applicable for current design</v>
      </c>
      <c r="G8" s="3"/>
      <c r="H8" s="3"/>
      <c r="L8" s="37">
        <f>Dashboard!$E$51</f>
        <v>1</v>
      </c>
      <c r="M8" s="37">
        <f>Dashboard!$E$52</f>
        <v>1</v>
      </c>
      <c r="N8" s="37">
        <f>Dashboard!$E$53</f>
        <v>1</v>
      </c>
      <c r="O8" s="37">
        <f>Dashboard!$E$54</f>
        <v>1</v>
      </c>
      <c r="P8" s="37">
        <f>Dashboard!$E$55</f>
        <v>1</v>
      </c>
    </row>
    <row r="9" spans="1:16" s="29" customFormat="1" ht="25.5">
      <c r="A9" s="6" t="s">
        <v>0</v>
      </c>
      <c r="B9" s="6" t="s">
        <v>1</v>
      </c>
      <c r="C9" s="6" t="s">
        <v>26</v>
      </c>
      <c r="D9" s="6" t="s">
        <v>27</v>
      </c>
      <c r="E9" s="6" t="s">
        <v>2</v>
      </c>
      <c r="F9" s="6" t="s">
        <v>3</v>
      </c>
      <c r="G9" s="6" t="s">
        <v>4</v>
      </c>
      <c r="H9" s="6" t="s">
        <v>13</v>
      </c>
      <c r="I9" s="6" t="s">
        <v>19</v>
      </c>
      <c r="J9" s="18" t="s">
        <v>74</v>
      </c>
      <c r="K9" s="18" t="s">
        <v>21</v>
      </c>
      <c r="L9" s="34" t="s">
        <v>63</v>
      </c>
      <c r="M9" s="34" t="s">
        <v>61</v>
      </c>
      <c r="N9" s="34" t="s">
        <v>62</v>
      </c>
      <c r="O9" s="34" t="s">
        <v>64</v>
      </c>
      <c r="P9" s="34" t="s">
        <v>65</v>
      </c>
    </row>
    <row r="10" spans="1:16" ht="16.5" customHeight="1">
      <c r="A10" s="31" t="s">
        <v>124</v>
      </c>
      <c r="B10" s="31" t="s">
        <v>124</v>
      </c>
      <c r="C10" s="31" t="s">
        <v>125</v>
      </c>
      <c r="D10" s="31" t="s">
        <v>229</v>
      </c>
      <c r="E10" s="31" t="s">
        <v>7</v>
      </c>
      <c r="F10" s="2" t="s">
        <v>6</v>
      </c>
      <c r="G10" s="31"/>
      <c r="H10" s="21" t="s">
        <v>13</v>
      </c>
      <c r="I10" s="21" t="s">
        <v>19</v>
      </c>
      <c r="J10" s="32"/>
      <c r="K10" s="32" t="s">
        <v>92</v>
      </c>
      <c r="L10" s="35"/>
      <c r="M10" s="35"/>
      <c r="N10" s="35"/>
      <c r="O10" s="35"/>
      <c r="P10" s="35"/>
    </row>
    <row r="11" spans="1:16" ht="16.5" customHeight="1">
      <c r="A11" s="31" t="s">
        <v>166</v>
      </c>
      <c r="B11" s="31" t="s">
        <v>167</v>
      </c>
      <c r="C11" s="31" t="s">
        <v>168</v>
      </c>
      <c r="D11" s="31" t="s">
        <v>230</v>
      </c>
      <c r="E11" s="31" t="s">
        <v>8</v>
      </c>
      <c r="F11" s="2" t="s">
        <v>6</v>
      </c>
      <c r="G11" s="31"/>
      <c r="H11" s="21" t="s">
        <v>13</v>
      </c>
      <c r="I11" s="21" t="s">
        <v>19</v>
      </c>
      <c r="J11" s="32"/>
      <c r="K11" s="32" t="s">
        <v>231</v>
      </c>
      <c r="L11" s="35"/>
      <c r="M11" s="35"/>
      <c r="N11" s="35"/>
      <c r="O11" s="35"/>
      <c r="P11" s="35"/>
    </row>
    <row r="12" spans="1:16" ht="16.5" customHeight="1">
      <c r="A12" s="31" t="s">
        <v>166</v>
      </c>
      <c r="B12" s="31" t="s">
        <v>167</v>
      </c>
      <c r="C12" s="31" t="s">
        <v>232</v>
      </c>
      <c r="D12" s="31" t="s">
        <v>233</v>
      </c>
      <c r="E12" s="31" t="s">
        <v>8</v>
      </c>
      <c r="F12" s="2" t="s">
        <v>6</v>
      </c>
      <c r="G12" s="31"/>
      <c r="H12" s="21" t="s">
        <v>13</v>
      </c>
      <c r="I12" s="21" t="s">
        <v>19</v>
      </c>
      <c r="J12" s="32"/>
      <c r="K12" s="33" t="s">
        <v>234</v>
      </c>
      <c r="L12" s="35"/>
      <c r="M12" s="35"/>
      <c r="N12" s="35"/>
      <c r="O12" s="35"/>
      <c r="P12" s="35"/>
    </row>
    <row r="13" spans="1:16" ht="16.5" customHeight="1">
      <c r="A13" s="31" t="s">
        <v>166</v>
      </c>
      <c r="B13" s="31" t="s">
        <v>167</v>
      </c>
      <c r="C13" s="31" t="s">
        <v>169</v>
      </c>
      <c r="D13" s="31" t="s">
        <v>235</v>
      </c>
      <c r="E13" s="31" t="s">
        <v>8</v>
      </c>
      <c r="F13" s="2" t="s">
        <v>6</v>
      </c>
      <c r="G13" s="31"/>
      <c r="H13" s="21" t="s">
        <v>13</v>
      </c>
      <c r="I13" s="21" t="s">
        <v>19</v>
      </c>
      <c r="J13" s="32"/>
      <c r="K13" s="33" t="s">
        <v>236</v>
      </c>
      <c r="L13" s="35"/>
      <c r="M13" s="35"/>
      <c r="N13" s="35"/>
      <c r="O13" s="35"/>
      <c r="P13" s="35"/>
    </row>
    <row r="14" spans="1:16" ht="16.5" customHeight="1">
      <c r="A14" s="31" t="s">
        <v>166</v>
      </c>
      <c r="B14" s="31" t="s">
        <v>167</v>
      </c>
      <c r="C14" s="31" t="s">
        <v>170</v>
      </c>
      <c r="D14" s="31" t="s">
        <v>237</v>
      </c>
      <c r="E14" s="31" t="s">
        <v>8</v>
      </c>
      <c r="F14" s="2" t="s">
        <v>6</v>
      </c>
      <c r="G14" s="31"/>
      <c r="H14" s="21"/>
      <c r="I14" s="21"/>
      <c r="J14" s="32"/>
      <c r="K14" s="32" t="s">
        <v>238</v>
      </c>
      <c r="L14" s="35"/>
      <c r="M14" s="35"/>
      <c r="N14" s="35"/>
      <c r="O14" s="35"/>
      <c r="P14" s="35"/>
    </row>
    <row r="15" spans="1:16" ht="16.5" customHeight="1">
      <c r="A15" s="31" t="s">
        <v>166</v>
      </c>
      <c r="B15" s="31" t="s">
        <v>167</v>
      </c>
      <c r="C15" s="31" t="s">
        <v>239</v>
      </c>
      <c r="D15" s="31" t="s">
        <v>240</v>
      </c>
      <c r="E15" s="31" t="s">
        <v>8</v>
      </c>
      <c r="F15" s="2" t="s">
        <v>6</v>
      </c>
      <c r="G15" s="31"/>
      <c r="H15" s="21" t="s">
        <v>13</v>
      </c>
      <c r="I15" s="21" t="s">
        <v>19</v>
      </c>
      <c r="J15" s="32"/>
      <c r="K15" s="32" t="s">
        <v>241</v>
      </c>
      <c r="L15" s="35"/>
      <c r="M15" s="35"/>
      <c r="N15" s="35"/>
      <c r="O15" s="35"/>
      <c r="P15" s="35"/>
    </row>
    <row r="16" spans="1:16" ht="16.5" customHeight="1">
      <c r="A16" s="31" t="s">
        <v>166</v>
      </c>
      <c r="B16" s="31" t="s">
        <v>167</v>
      </c>
      <c r="C16" s="31" t="s">
        <v>171</v>
      </c>
      <c r="D16" s="31" t="s">
        <v>242</v>
      </c>
      <c r="E16" s="31" t="s">
        <v>8</v>
      </c>
      <c r="F16" s="2" t="s">
        <v>6</v>
      </c>
      <c r="G16" s="31"/>
      <c r="H16" s="21"/>
      <c r="I16" s="21"/>
      <c r="J16" s="32"/>
      <c r="K16" s="32" t="s">
        <v>243</v>
      </c>
      <c r="L16" s="35"/>
      <c r="M16" s="35"/>
      <c r="N16" s="35"/>
      <c r="O16" s="35"/>
      <c r="P16" s="35"/>
    </row>
    <row r="17" spans="1:16" ht="16.5" customHeight="1">
      <c r="A17" s="31" t="s">
        <v>166</v>
      </c>
      <c r="B17" s="31" t="s">
        <v>167</v>
      </c>
      <c r="C17" s="31" t="s">
        <v>244</v>
      </c>
      <c r="D17" s="31" t="s">
        <v>245</v>
      </c>
      <c r="E17" s="31" t="s">
        <v>8</v>
      </c>
      <c r="F17" s="2" t="s">
        <v>6</v>
      </c>
      <c r="G17" s="31"/>
      <c r="H17" s="21" t="s">
        <v>13</v>
      </c>
      <c r="I17" s="21"/>
      <c r="J17" s="32"/>
      <c r="K17" s="32" t="s">
        <v>246</v>
      </c>
      <c r="L17" s="35"/>
      <c r="M17" s="35"/>
      <c r="N17" s="35"/>
      <c r="O17" s="35"/>
      <c r="P17" s="35"/>
    </row>
    <row r="18" spans="1:16" ht="16.5" customHeight="1">
      <c r="A18" s="31" t="s">
        <v>166</v>
      </c>
      <c r="B18" s="31" t="s">
        <v>172</v>
      </c>
      <c r="C18" s="31" t="s">
        <v>173</v>
      </c>
      <c r="D18" s="31" t="s">
        <v>247</v>
      </c>
      <c r="E18" s="31" t="s">
        <v>5</v>
      </c>
      <c r="F18" s="2" t="s">
        <v>6</v>
      </c>
      <c r="G18" s="31"/>
      <c r="H18" s="21"/>
      <c r="I18" s="21"/>
      <c r="J18" s="32"/>
      <c r="K18" s="32" t="s">
        <v>248</v>
      </c>
      <c r="L18" s="35"/>
      <c r="M18" s="35"/>
      <c r="N18" s="35"/>
      <c r="O18" s="35"/>
      <c r="P18" s="35"/>
    </row>
    <row r="19" spans="1:16" ht="16.5" customHeight="1">
      <c r="A19" s="31" t="s">
        <v>166</v>
      </c>
      <c r="B19" s="31" t="s">
        <v>172</v>
      </c>
      <c r="C19" s="31" t="s">
        <v>174</v>
      </c>
      <c r="D19" s="31" t="s">
        <v>249</v>
      </c>
      <c r="E19" s="31" t="s">
        <v>7</v>
      </c>
      <c r="F19" s="2" t="s">
        <v>6</v>
      </c>
      <c r="G19" s="31"/>
      <c r="H19" s="21" t="s">
        <v>13</v>
      </c>
      <c r="I19" s="21"/>
      <c r="J19" s="32"/>
      <c r="K19" s="32" t="s">
        <v>250</v>
      </c>
      <c r="L19" s="35"/>
      <c r="M19" s="35"/>
      <c r="N19" s="35"/>
      <c r="O19" s="35"/>
      <c r="P19" s="35"/>
    </row>
    <row r="20" spans="1:16" ht="16.5" customHeight="1">
      <c r="A20" s="31" t="s">
        <v>166</v>
      </c>
      <c r="B20" s="31" t="s">
        <v>172</v>
      </c>
      <c r="C20" s="31" t="s">
        <v>175</v>
      </c>
      <c r="D20" s="31" t="s">
        <v>251</v>
      </c>
      <c r="E20" s="31" t="s">
        <v>7</v>
      </c>
      <c r="F20" s="2" t="s">
        <v>6</v>
      </c>
      <c r="G20" s="31"/>
      <c r="H20" s="21" t="s">
        <v>13</v>
      </c>
      <c r="I20" s="21" t="s">
        <v>19</v>
      </c>
      <c r="J20" s="32"/>
      <c r="K20" s="32" t="s">
        <v>252</v>
      </c>
      <c r="L20" s="35"/>
      <c r="M20" s="35"/>
      <c r="N20" s="35"/>
      <c r="O20" s="35"/>
      <c r="P20" s="35"/>
    </row>
    <row r="21" spans="1:16" ht="16.5" customHeight="1">
      <c r="A21" s="31" t="s">
        <v>166</v>
      </c>
      <c r="B21" s="31" t="s">
        <v>172</v>
      </c>
      <c r="C21" s="31" t="s">
        <v>176</v>
      </c>
      <c r="D21" s="31" t="s">
        <v>253</v>
      </c>
      <c r="E21" s="31" t="s">
        <v>7</v>
      </c>
      <c r="F21" s="2" t="s">
        <v>6</v>
      </c>
      <c r="G21" s="31"/>
      <c r="H21" s="21"/>
      <c r="I21" s="21"/>
      <c r="J21" s="32"/>
      <c r="K21" s="32" t="s">
        <v>254</v>
      </c>
      <c r="L21" s="35"/>
      <c r="M21" s="35"/>
      <c r="N21" s="35"/>
      <c r="O21" s="35"/>
      <c r="P21" s="35"/>
    </row>
    <row r="22" spans="1:16" ht="16.5" customHeight="1">
      <c r="A22" s="31" t="s">
        <v>166</v>
      </c>
      <c r="B22" s="31" t="s">
        <v>172</v>
      </c>
      <c r="C22" s="31" t="s">
        <v>177</v>
      </c>
      <c r="D22" s="31" t="s">
        <v>255</v>
      </c>
      <c r="E22" s="31" t="s">
        <v>8</v>
      </c>
      <c r="F22" s="2" t="s">
        <v>6</v>
      </c>
      <c r="G22" s="31"/>
      <c r="H22" s="21" t="s">
        <v>13</v>
      </c>
      <c r="I22" s="21"/>
      <c r="J22" s="32"/>
      <c r="K22" s="32" t="s">
        <v>256</v>
      </c>
      <c r="L22" s="35"/>
      <c r="M22" s="35"/>
      <c r="N22" s="35"/>
      <c r="O22" s="35"/>
      <c r="P22" s="35"/>
    </row>
    <row r="23" spans="1:16" ht="16.5" customHeight="1">
      <c r="A23" s="31" t="s">
        <v>166</v>
      </c>
      <c r="B23" s="31" t="s">
        <v>172</v>
      </c>
      <c r="C23" s="31" t="s">
        <v>178</v>
      </c>
      <c r="D23" s="31" t="s">
        <v>257</v>
      </c>
      <c r="E23" s="31" t="s">
        <v>8</v>
      </c>
      <c r="F23" s="2" t="s">
        <v>6</v>
      </c>
      <c r="G23" s="31"/>
      <c r="H23" s="21" t="s">
        <v>13</v>
      </c>
      <c r="I23" s="21"/>
      <c r="J23" s="32"/>
      <c r="K23" s="32" t="s">
        <v>258</v>
      </c>
      <c r="L23" s="35"/>
      <c r="M23" s="35"/>
      <c r="N23" s="35"/>
      <c r="O23" s="35"/>
      <c r="P23" s="35"/>
    </row>
    <row r="24" spans="1:16" ht="16.5" customHeight="1">
      <c r="A24" s="31" t="s">
        <v>166</v>
      </c>
      <c r="B24" s="31" t="s">
        <v>172</v>
      </c>
      <c r="C24" s="31" t="s">
        <v>179</v>
      </c>
      <c r="D24" s="31" t="s">
        <v>259</v>
      </c>
      <c r="E24" s="31" t="s">
        <v>8</v>
      </c>
      <c r="F24" s="2" t="s">
        <v>6</v>
      </c>
      <c r="G24" s="31"/>
      <c r="H24" s="21" t="s">
        <v>13</v>
      </c>
      <c r="I24" s="21" t="s">
        <v>19</v>
      </c>
      <c r="J24" s="32"/>
      <c r="K24" s="32" t="s">
        <v>260</v>
      </c>
      <c r="L24" s="35"/>
      <c r="M24" s="35"/>
      <c r="N24" s="35"/>
      <c r="O24" s="35"/>
      <c r="P24" s="35"/>
    </row>
    <row r="25" spans="1:16" ht="16.5" customHeight="1">
      <c r="A25" s="31" t="s">
        <v>166</v>
      </c>
      <c r="B25" s="31" t="s">
        <v>172</v>
      </c>
      <c r="C25" s="31" t="s">
        <v>261</v>
      </c>
      <c r="D25" s="31" t="s">
        <v>262</v>
      </c>
      <c r="E25" s="31" t="s">
        <v>8</v>
      </c>
      <c r="F25" s="2" t="s">
        <v>6</v>
      </c>
      <c r="G25" s="31"/>
      <c r="H25" s="21" t="s">
        <v>13</v>
      </c>
      <c r="I25" s="21" t="s">
        <v>19</v>
      </c>
      <c r="J25" s="32"/>
      <c r="K25" s="32" t="s">
        <v>263</v>
      </c>
      <c r="L25" s="35"/>
      <c r="M25" s="35"/>
      <c r="N25" s="35"/>
      <c r="O25" s="35"/>
      <c r="P25" s="35"/>
    </row>
    <row r="26" spans="1:16" ht="16.5" customHeight="1">
      <c r="A26" s="31" t="s">
        <v>166</v>
      </c>
      <c r="B26" s="31" t="s">
        <v>180</v>
      </c>
      <c r="C26" s="31" t="s">
        <v>264</v>
      </c>
      <c r="D26" s="31" t="s">
        <v>265</v>
      </c>
      <c r="E26" s="31" t="s">
        <v>8</v>
      </c>
      <c r="F26" s="2" t="s">
        <v>6</v>
      </c>
      <c r="G26" s="31"/>
      <c r="H26" s="21" t="s">
        <v>13</v>
      </c>
      <c r="I26" s="21"/>
      <c r="J26" s="32"/>
      <c r="K26" s="32" t="s">
        <v>266</v>
      </c>
      <c r="L26" s="35"/>
      <c r="M26" s="35"/>
      <c r="N26" s="35"/>
      <c r="O26" s="35"/>
      <c r="P26" s="35"/>
    </row>
    <row r="27" spans="1:16" ht="16.5" customHeight="1">
      <c r="A27" s="31" t="s">
        <v>166</v>
      </c>
      <c r="B27" s="31" t="s">
        <v>180</v>
      </c>
      <c r="C27" s="31" t="s">
        <v>181</v>
      </c>
      <c r="D27" s="31" t="s">
        <v>267</v>
      </c>
      <c r="E27" s="31" t="s">
        <v>8</v>
      </c>
      <c r="F27" s="2" t="s">
        <v>6</v>
      </c>
      <c r="G27" s="31"/>
      <c r="H27" s="21" t="s">
        <v>13</v>
      </c>
      <c r="I27" s="21"/>
      <c r="J27" s="32"/>
      <c r="K27" s="32" t="s">
        <v>268</v>
      </c>
      <c r="L27" s="35"/>
      <c r="M27" s="35"/>
      <c r="N27" s="35"/>
      <c r="O27" s="35"/>
      <c r="P27" s="35"/>
    </row>
    <row r="28" spans="1:16" ht="16.5" customHeight="1">
      <c r="A28" s="31" t="s">
        <v>166</v>
      </c>
      <c r="B28" s="31" t="s">
        <v>180</v>
      </c>
      <c r="C28" s="31" t="s">
        <v>182</v>
      </c>
      <c r="D28" s="31" t="s">
        <v>269</v>
      </c>
      <c r="E28" s="31" t="s">
        <v>7</v>
      </c>
      <c r="F28" s="2" t="s">
        <v>6</v>
      </c>
      <c r="G28" s="31"/>
      <c r="H28" s="21"/>
      <c r="I28" s="21"/>
      <c r="J28" s="32"/>
      <c r="K28" s="32" t="s">
        <v>270</v>
      </c>
      <c r="L28" s="35"/>
      <c r="M28" s="35"/>
      <c r="N28" s="35"/>
      <c r="O28" s="35"/>
      <c r="P28" s="35"/>
    </row>
    <row r="29" spans="1:16" ht="16.5" customHeight="1">
      <c r="A29" s="31" t="s">
        <v>166</v>
      </c>
      <c r="B29" s="31" t="s">
        <v>180</v>
      </c>
      <c r="C29" s="31" t="s">
        <v>183</v>
      </c>
      <c r="D29" s="31" t="s">
        <v>271</v>
      </c>
      <c r="E29" s="31" t="s">
        <v>7</v>
      </c>
      <c r="F29" s="2" t="s">
        <v>6</v>
      </c>
      <c r="G29" s="31"/>
      <c r="H29" s="21" t="s">
        <v>13</v>
      </c>
      <c r="I29" s="21"/>
      <c r="J29" s="32"/>
      <c r="K29" s="32" t="s">
        <v>272</v>
      </c>
      <c r="L29" s="35"/>
      <c r="M29" s="35"/>
      <c r="N29" s="35"/>
      <c r="O29" s="35"/>
      <c r="P29" s="35"/>
    </row>
    <row r="30" spans="1:16" ht="16.5" customHeight="1">
      <c r="A30" s="31" t="s">
        <v>166</v>
      </c>
      <c r="B30" s="31" t="s">
        <v>180</v>
      </c>
      <c r="C30" s="31" t="s">
        <v>184</v>
      </c>
      <c r="D30" s="31" t="s">
        <v>273</v>
      </c>
      <c r="E30" s="31" t="s">
        <v>8</v>
      </c>
      <c r="F30" s="2" t="s">
        <v>6</v>
      </c>
      <c r="G30" s="31"/>
      <c r="H30" s="21"/>
      <c r="I30" s="21"/>
      <c r="J30" s="32"/>
      <c r="K30" s="32" t="s">
        <v>274</v>
      </c>
      <c r="L30" s="35"/>
      <c r="M30" s="35"/>
      <c r="N30" s="35"/>
      <c r="O30" s="35"/>
      <c r="P30" s="35"/>
    </row>
    <row r="31" spans="1:16" ht="16.5" customHeight="1">
      <c r="A31" s="31" t="s">
        <v>166</v>
      </c>
      <c r="B31" s="31" t="s">
        <v>180</v>
      </c>
      <c r="C31" s="31" t="s">
        <v>275</v>
      </c>
      <c r="D31" s="31" t="s">
        <v>276</v>
      </c>
      <c r="E31" s="31" t="s">
        <v>8</v>
      </c>
      <c r="F31" s="2" t="s">
        <v>6</v>
      </c>
      <c r="G31" s="31"/>
      <c r="H31" s="21" t="s">
        <v>13</v>
      </c>
      <c r="I31" s="21" t="s">
        <v>19</v>
      </c>
      <c r="J31" s="32"/>
      <c r="K31" s="32" t="s">
        <v>277</v>
      </c>
      <c r="L31" s="35"/>
      <c r="M31" s="35"/>
      <c r="N31" s="35"/>
      <c r="O31" s="35"/>
      <c r="P31" s="35"/>
    </row>
    <row r="32" spans="1:16" ht="16.5" customHeight="1">
      <c r="A32" s="31" t="s">
        <v>166</v>
      </c>
      <c r="B32" s="31" t="s">
        <v>180</v>
      </c>
      <c r="C32" s="31" t="s">
        <v>278</v>
      </c>
      <c r="D32" s="31" t="s">
        <v>279</v>
      </c>
      <c r="E32" s="31" t="s">
        <v>7</v>
      </c>
      <c r="F32" s="2" t="s">
        <v>6</v>
      </c>
      <c r="G32" s="31"/>
      <c r="H32" s="21"/>
      <c r="J32" s="32"/>
      <c r="K32" s="32" t="s">
        <v>280</v>
      </c>
      <c r="L32" s="35"/>
      <c r="M32" s="35"/>
      <c r="N32" s="35"/>
      <c r="O32" s="35"/>
      <c r="P32" s="35"/>
    </row>
    <row r="33" spans="1:16" ht="16.5" customHeight="1">
      <c r="A33" s="31" t="s">
        <v>166</v>
      </c>
      <c r="B33" s="31" t="s">
        <v>180</v>
      </c>
      <c r="C33" s="31" t="s">
        <v>185</v>
      </c>
      <c r="D33" s="31" t="s">
        <v>281</v>
      </c>
      <c r="E33" s="31" t="s">
        <v>8</v>
      </c>
      <c r="F33" s="2" t="s">
        <v>6</v>
      </c>
      <c r="G33" s="31"/>
      <c r="H33" s="21"/>
      <c r="J33" s="32"/>
      <c r="K33" s="32" t="s">
        <v>282</v>
      </c>
      <c r="L33" s="35"/>
      <c r="M33" s="35"/>
      <c r="N33" s="35"/>
      <c r="O33" s="35"/>
      <c r="P33" s="35"/>
    </row>
    <row r="34" spans="1:16" ht="16.5" customHeight="1">
      <c r="A34" s="31" t="s">
        <v>166</v>
      </c>
      <c r="B34" s="31" t="s">
        <v>186</v>
      </c>
      <c r="C34" s="31" t="s">
        <v>187</v>
      </c>
      <c r="D34" s="31" t="s">
        <v>283</v>
      </c>
      <c r="E34" s="31" t="s">
        <v>8</v>
      </c>
      <c r="F34" s="2" t="s">
        <v>6</v>
      </c>
      <c r="G34" s="31"/>
      <c r="H34" s="21" t="s">
        <v>13</v>
      </c>
      <c r="I34" s="21" t="s">
        <v>19</v>
      </c>
      <c r="J34" s="32"/>
      <c r="K34" s="32" t="s">
        <v>284</v>
      </c>
      <c r="L34" s="35"/>
      <c r="M34" s="35"/>
      <c r="N34" s="35"/>
      <c r="O34" s="35"/>
      <c r="P34" s="35"/>
    </row>
    <row r="35" spans="1:16" ht="16.5" customHeight="1">
      <c r="A35" s="31" t="s">
        <v>166</v>
      </c>
      <c r="B35" s="31" t="s">
        <v>186</v>
      </c>
      <c r="C35" s="31" t="s">
        <v>188</v>
      </c>
      <c r="D35" s="31" t="s">
        <v>285</v>
      </c>
      <c r="E35" s="31" t="s">
        <v>5</v>
      </c>
      <c r="F35" s="2" t="s">
        <v>6</v>
      </c>
      <c r="G35" s="31"/>
      <c r="H35" s="21"/>
      <c r="I35" s="21"/>
      <c r="J35" s="32"/>
      <c r="K35" s="32" t="s">
        <v>286</v>
      </c>
      <c r="L35" s="35"/>
      <c r="M35" s="35"/>
      <c r="N35" s="35"/>
      <c r="O35" s="35"/>
      <c r="P35" s="35"/>
    </row>
    <row r="36" spans="1:16" ht="16.5" customHeight="1">
      <c r="A36" s="31" t="s">
        <v>166</v>
      </c>
      <c r="B36" s="31" t="s">
        <v>186</v>
      </c>
      <c r="C36" s="31" t="s">
        <v>189</v>
      </c>
      <c r="D36" s="31" t="s">
        <v>287</v>
      </c>
      <c r="E36" s="31" t="s">
        <v>5</v>
      </c>
      <c r="F36" s="2" t="s">
        <v>6</v>
      </c>
      <c r="G36" s="31"/>
      <c r="H36" s="21" t="s">
        <v>13</v>
      </c>
      <c r="I36" s="21"/>
      <c r="J36" s="32"/>
      <c r="K36" s="33" t="s">
        <v>288</v>
      </c>
      <c r="L36" s="35"/>
      <c r="M36" s="35"/>
      <c r="N36" s="35"/>
      <c r="O36" s="35"/>
      <c r="P36" s="35"/>
    </row>
    <row r="37" spans="1:16" ht="16.5" customHeight="1">
      <c r="A37" s="31" t="s">
        <v>166</v>
      </c>
      <c r="B37" s="31" t="s">
        <v>186</v>
      </c>
      <c r="C37" s="31" t="s">
        <v>190</v>
      </c>
      <c r="D37" s="31" t="s">
        <v>289</v>
      </c>
      <c r="E37" s="31" t="s">
        <v>8</v>
      </c>
      <c r="F37" s="2" t="s">
        <v>6</v>
      </c>
      <c r="G37" s="31"/>
      <c r="H37" s="21" t="s">
        <v>13</v>
      </c>
      <c r="I37" s="21"/>
      <c r="J37" s="32"/>
      <c r="K37" s="32" t="s">
        <v>290</v>
      </c>
      <c r="L37" s="35"/>
      <c r="M37" s="35"/>
      <c r="N37" s="35"/>
      <c r="O37" s="35"/>
      <c r="P37" s="35"/>
    </row>
    <row r="38" spans="1:16" ht="16.5" customHeight="1">
      <c r="A38" s="31" t="s">
        <v>166</v>
      </c>
      <c r="B38" s="31" t="s">
        <v>186</v>
      </c>
      <c r="C38" s="31" t="s">
        <v>191</v>
      </c>
      <c r="D38" s="31" t="s">
        <v>291</v>
      </c>
      <c r="E38" s="31" t="s">
        <v>5</v>
      </c>
      <c r="F38" s="2" t="s">
        <v>6</v>
      </c>
      <c r="G38" s="31"/>
      <c r="H38" s="21" t="s">
        <v>13</v>
      </c>
      <c r="I38" s="21"/>
      <c r="J38" s="32"/>
      <c r="K38" s="32" t="s">
        <v>292</v>
      </c>
      <c r="L38" s="35"/>
      <c r="M38" s="35"/>
      <c r="N38" s="35"/>
      <c r="O38" s="35"/>
      <c r="P38" s="35"/>
    </row>
    <row r="39" spans="1:16" ht="16.5" customHeight="1">
      <c r="A39" s="31" t="s">
        <v>166</v>
      </c>
      <c r="B39" s="31" t="s">
        <v>192</v>
      </c>
      <c r="C39" s="31" t="s">
        <v>193</v>
      </c>
      <c r="D39" s="31" t="s">
        <v>293</v>
      </c>
      <c r="E39" s="31" t="s">
        <v>8</v>
      </c>
      <c r="F39" s="2" t="s">
        <v>6</v>
      </c>
      <c r="G39" s="31"/>
      <c r="H39" s="21"/>
      <c r="I39" s="21"/>
      <c r="J39" s="32"/>
      <c r="K39" s="32" t="s">
        <v>294</v>
      </c>
      <c r="L39" s="35"/>
      <c r="M39" s="35"/>
      <c r="N39" s="35"/>
      <c r="O39" s="35"/>
      <c r="P39" s="35"/>
    </row>
    <row r="40" spans="1:16" ht="16.5" customHeight="1">
      <c r="A40" s="31" t="s">
        <v>166</v>
      </c>
      <c r="B40" s="31" t="s">
        <v>192</v>
      </c>
      <c r="C40" s="31" t="s">
        <v>194</v>
      </c>
      <c r="D40" s="31" t="s">
        <v>295</v>
      </c>
      <c r="E40" s="31" t="s">
        <v>7</v>
      </c>
      <c r="F40" s="2" t="s">
        <v>6</v>
      </c>
      <c r="G40" s="31"/>
      <c r="H40" s="21" t="s">
        <v>13</v>
      </c>
      <c r="I40" s="21"/>
      <c r="J40" s="32"/>
      <c r="K40" s="32" t="s">
        <v>296</v>
      </c>
      <c r="L40" s="35"/>
      <c r="M40" s="35"/>
      <c r="N40" s="35"/>
      <c r="O40" s="35"/>
      <c r="P40" s="35"/>
    </row>
    <row r="41" spans="1:16" ht="16.5" customHeight="1">
      <c r="A41" s="31" t="s">
        <v>166</v>
      </c>
      <c r="B41" s="31" t="s">
        <v>192</v>
      </c>
      <c r="C41" s="31" t="s">
        <v>297</v>
      </c>
      <c r="D41" s="31" t="s">
        <v>298</v>
      </c>
      <c r="E41" s="31" t="s">
        <v>7</v>
      </c>
      <c r="F41" s="2" t="s">
        <v>6</v>
      </c>
      <c r="G41" s="31"/>
      <c r="H41" s="21" t="s">
        <v>13</v>
      </c>
      <c r="I41" s="21"/>
      <c r="J41" s="32"/>
      <c r="K41" s="32" t="s">
        <v>299</v>
      </c>
      <c r="L41" s="35"/>
      <c r="M41" s="35"/>
      <c r="N41" s="35"/>
      <c r="O41" s="35"/>
      <c r="P41" s="35"/>
    </row>
    <row r="42" spans="1:16" ht="16.5" customHeight="1">
      <c r="A42" s="31" t="s">
        <v>166</v>
      </c>
      <c r="B42" s="31" t="s">
        <v>192</v>
      </c>
      <c r="C42" s="31" t="s">
        <v>195</v>
      </c>
      <c r="D42" s="31" t="s">
        <v>300</v>
      </c>
      <c r="E42" s="31" t="s">
        <v>7</v>
      </c>
      <c r="F42" s="2" t="s">
        <v>6</v>
      </c>
      <c r="G42" s="31"/>
      <c r="H42" s="21"/>
      <c r="I42" s="21"/>
      <c r="J42" s="32"/>
      <c r="K42" s="32" t="s">
        <v>301</v>
      </c>
      <c r="L42" s="35"/>
      <c r="M42" s="35"/>
      <c r="N42" s="35"/>
      <c r="O42" s="35"/>
      <c r="P42" s="35"/>
    </row>
    <row r="43" spans="1:16" ht="16.5" customHeight="1">
      <c r="A43" s="31" t="s">
        <v>166</v>
      </c>
      <c r="B43" s="31" t="s">
        <v>192</v>
      </c>
      <c r="C43" s="31" t="s">
        <v>196</v>
      </c>
      <c r="D43" s="31" t="s">
        <v>302</v>
      </c>
      <c r="E43" s="31" t="s">
        <v>7</v>
      </c>
      <c r="F43" s="2" t="s">
        <v>6</v>
      </c>
      <c r="G43" s="31"/>
      <c r="H43" s="21"/>
      <c r="I43" s="21"/>
      <c r="J43" s="32"/>
      <c r="K43" s="32" t="s">
        <v>303</v>
      </c>
      <c r="L43" s="35"/>
      <c r="M43" s="35"/>
      <c r="N43" s="35"/>
      <c r="O43" s="35"/>
      <c r="P43" s="35"/>
    </row>
    <row r="44" spans="1:16" ht="16.5" customHeight="1">
      <c r="A44" s="31" t="s">
        <v>166</v>
      </c>
      <c r="B44" s="31" t="s">
        <v>192</v>
      </c>
      <c r="C44" s="31" t="s">
        <v>197</v>
      </c>
      <c r="D44" s="31" t="s">
        <v>304</v>
      </c>
      <c r="E44" s="31" t="s">
        <v>8</v>
      </c>
      <c r="F44" s="2" t="s">
        <v>6</v>
      </c>
      <c r="G44" s="31"/>
      <c r="H44" s="21" t="s">
        <v>13</v>
      </c>
      <c r="I44" s="21"/>
      <c r="J44" s="32"/>
      <c r="K44" s="32" t="s">
        <v>305</v>
      </c>
      <c r="L44" s="35"/>
      <c r="M44" s="35"/>
      <c r="N44" s="35"/>
      <c r="O44" s="35"/>
      <c r="P44" s="35"/>
    </row>
    <row r="45" spans="1:16" ht="16.5" customHeight="1">
      <c r="A45" s="31" t="s">
        <v>166</v>
      </c>
      <c r="B45" s="31" t="s">
        <v>192</v>
      </c>
      <c r="C45" s="31" t="s">
        <v>198</v>
      </c>
      <c r="D45" s="31" t="s">
        <v>306</v>
      </c>
      <c r="E45" s="31" t="s">
        <v>8</v>
      </c>
      <c r="F45" s="2" t="s">
        <v>6</v>
      </c>
      <c r="G45" s="31"/>
      <c r="H45" s="21" t="s">
        <v>13</v>
      </c>
      <c r="I45" s="21"/>
      <c r="J45" s="32"/>
      <c r="K45" s="32" t="s">
        <v>307</v>
      </c>
      <c r="L45" s="35"/>
      <c r="M45" s="35"/>
      <c r="N45" s="35"/>
      <c r="O45" s="35"/>
      <c r="P45" s="35"/>
    </row>
    <row r="46" spans="1:16" ht="16.5" customHeight="1">
      <c r="A46" s="31" t="s">
        <v>166</v>
      </c>
      <c r="B46" s="31" t="s">
        <v>199</v>
      </c>
      <c r="C46" s="31" t="s">
        <v>200</v>
      </c>
      <c r="D46" s="31" t="s">
        <v>308</v>
      </c>
      <c r="E46" s="31" t="s">
        <v>5</v>
      </c>
      <c r="F46" s="2" t="s">
        <v>6</v>
      </c>
      <c r="G46" s="31"/>
      <c r="H46" s="21"/>
      <c r="I46" s="21"/>
      <c r="J46" s="32"/>
      <c r="K46" s="33" t="s">
        <v>309</v>
      </c>
      <c r="L46" s="35"/>
      <c r="M46" s="35"/>
      <c r="N46" s="35"/>
      <c r="O46" s="35"/>
      <c r="P46" s="35"/>
    </row>
    <row r="47" spans="1:16" ht="16.5" customHeight="1">
      <c r="A47" s="31" t="s">
        <v>166</v>
      </c>
      <c r="B47" s="31" t="s">
        <v>199</v>
      </c>
      <c r="C47" s="31" t="s">
        <v>201</v>
      </c>
      <c r="D47" s="31" t="s">
        <v>310</v>
      </c>
      <c r="E47" s="31" t="s">
        <v>7</v>
      </c>
      <c r="F47" s="2" t="s">
        <v>6</v>
      </c>
      <c r="G47" s="31"/>
      <c r="H47" s="21"/>
      <c r="I47" s="21"/>
      <c r="J47" s="32"/>
      <c r="K47" s="33" t="s">
        <v>311</v>
      </c>
      <c r="L47" s="35"/>
      <c r="M47" s="35"/>
      <c r="N47" s="35"/>
      <c r="O47" s="35"/>
      <c r="P47" s="35"/>
    </row>
    <row r="48" spans="1:16" ht="16.5" customHeight="1">
      <c r="A48" s="31" t="s">
        <v>166</v>
      </c>
      <c r="B48" s="31" t="s">
        <v>199</v>
      </c>
      <c r="C48" s="31" t="s">
        <v>202</v>
      </c>
      <c r="D48" s="31" t="s">
        <v>312</v>
      </c>
      <c r="E48" s="31" t="s">
        <v>8</v>
      </c>
      <c r="F48" s="2" t="s">
        <v>6</v>
      </c>
      <c r="G48" s="31"/>
      <c r="H48" s="21"/>
      <c r="I48" s="21"/>
      <c r="J48" s="32"/>
      <c r="K48" s="32" t="s">
        <v>313</v>
      </c>
      <c r="L48" s="35"/>
      <c r="M48" s="35"/>
      <c r="N48" s="35"/>
      <c r="O48" s="35"/>
      <c r="P48" s="35"/>
    </row>
    <row r="49" spans="1:16" ht="16.5" customHeight="1">
      <c r="A49" s="31" t="s">
        <v>166</v>
      </c>
      <c r="B49" s="31" t="s">
        <v>199</v>
      </c>
      <c r="C49" s="31" t="s">
        <v>203</v>
      </c>
      <c r="D49" s="31" t="s">
        <v>314</v>
      </c>
      <c r="E49" s="31" t="s">
        <v>7</v>
      </c>
      <c r="F49" s="2" t="s">
        <v>6</v>
      </c>
      <c r="G49" s="31"/>
      <c r="H49" s="21" t="s">
        <v>13</v>
      </c>
      <c r="I49" s="21"/>
      <c r="J49" s="32"/>
      <c r="K49" s="32" t="s">
        <v>315</v>
      </c>
      <c r="L49" s="35"/>
      <c r="M49" s="35"/>
      <c r="N49" s="35"/>
      <c r="O49" s="35"/>
      <c r="P49" s="35"/>
    </row>
    <row r="50" spans="1:16" ht="16.5" customHeight="1">
      <c r="A50" s="31" t="s">
        <v>166</v>
      </c>
      <c r="B50" s="31" t="s">
        <v>199</v>
      </c>
      <c r="C50" s="31" t="s">
        <v>316</v>
      </c>
      <c r="D50" s="31" t="s">
        <v>317</v>
      </c>
      <c r="E50" s="31" t="s">
        <v>7</v>
      </c>
      <c r="F50" s="2" t="s">
        <v>6</v>
      </c>
      <c r="G50" s="31"/>
      <c r="H50" s="21"/>
      <c r="I50" s="21"/>
      <c r="J50" s="32"/>
      <c r="K50" s="32" t="s">
        <v>318</v>
      </c>
      <c r="L50" s="35"/>
      <c r="M50" s="35"/>
      <c r="N50" s="35"/>
      <c r="O50" s="35"/>
      <c r="P50" s="35"/>
    </row>
    <row r="51" spans="1:16" ht="16.5" customHeight="1">
      <c r="A51" s="31" t="s">
        <v>166</v>
      </c>
      <c r="B51" s="31" t="s">
        <v>199</v>
      </c>
      <c r="C51" s="31" t="s">
        <v>204</v>
      </c>
      <c r="D51" s="31" t="s">
        <v>319</v>
      </c>
      <c r="E51" s="31" t="s">
        <v>8</v>
      </c>
      <c r="F51" s="2" t="s">
        <v>6</v>
      </c>
      <c r="G51" s="31"/>
      <c r="H51" s="21" t="s">
        <v>13</v>
      </c>
      <c r="I51" s="21"/>
      <c r="J51" s="32"/>
      <c r="K51" s="32" t="s">
        <v>320</v>
      </c>
      <c r="L51" s="35"/>
      <c r="M51" s="35"/>
      <c r="N51" s="35"/>
      <c r="O51" s="35"/>
      <c r="P51" s="35"/>
    </row>
    <row r="52" spans="1:16" ht="16.5" customHeight="1">
      <c r="A52" s="31" t="s">
        <v>166</v>
      </c>
      <c r="B52" s="31" t="s">
        <v>205</v>
      </c>
      <c r="C52" s="31" t="s">
        <v>206</v>
      </c>
      <c r="D52" s="31" t="s">
        <v>321</v>
      </c>
      <c r="E52" s="31" t="s">
        <v>7</v>
      </c>
      <c r="F52" s="2" t="s">
        <v>6</v>
      </c>
      <c r="G52" s="31"/>
      <c r="H52" s="21"/>
      <c r="J52" s="32"/>
      <c r="K52" s="32" t="s">
        <v>322</v>
      </c>
      <c r="L52" s="35"/>
      <c r="M52" s="35"/>
      <c r="N52" s="35"/>
      <c r="O52" s="35"/>
      <c r="P52" s="35"/>
    </row>
    <row r="53" spans="1:16" ht="16.5" customHeight="1">
      <c r="A53" s="31" t="s">
        <v>166</v>
      </c>
      <c r="B53" s="31" t="s">
        <v>205</v>
      </c>
      <c r="C53" s="31" t="s">
        <v>207</v>
      </c>
      <c r="D53" s="31" t="s">
        <v>323</v>
      </c>
      <c r="E53" s="31" t="s">
        <v>7</v>
      </c>
      <c r="F53" s="2" t="s">
        <v>6</v>
      </c>
      <c r="G53" s="31"/>
      <c r="H53" s="21"/>
      <c r="I53" s="21"/>
      <c r="J53" s="32"/>
      <c r="K53" s="32" t="s">
        <v>324</v>
      </c>
      <c r="L53" s="35"/>
      <c r="M53" s="35"/>
      <c r="N53" s="35"/>
      <c r="O53" s="35"/>
      <c r="P53" s="35"/>
    </row>
    <row r="54" spans="1:16" ht="16.5" customHeight="1">
      <c r="A54" s="31" t="s">
        <v>166</v>
      </c>
      <c r="B54" s="31" t="s">
        <v>205</v>
      </c>
      <c r="C54" s="31" t="s">
        <v>208</v>
      </c>
      <c r="D54" s="31" t="s">
        <v>325</v>
      </c>
      <c r="E54" s="31" t="s">
        <v>7</v>
      </c>
      <c r="F54" s="2" t="s">
        <v>6</v>
      </c>
      <c r="G54" s="31"/>
      <c r="H54" s="21"/>
      <c r="I54" s="21" t="s">
        <v>19</v>
      </c>
      <c r="J54" s="32"/>
      <c r="K54" s="32" t="s">
        <v>326</v>
      </c>
      <c r="L54" s="35"/>
      <c r="M54" s="35"/>
      <c r="N54" s="35"/>
      <c r="O54" s="35"/>
      <c r="P54" s="35"/>
    </row>
    <row r="55" spans="1:16" ht="16.5" customHeight="1">
      <c r="A55" s="31" t="s">
        <v>166</v>
      </c>
      <c r="B55" s="31" t="s">
        <v>205</v>
      </c>
      <c r="C55" s="31" t="s">
        <v>209</v>
      </c>
      <c r="D55" s="31" t="s">
        <v>327</v>
      </c>
      <c r="E55" s="31" t="s">
        <v>8</v>
      </c>
      <c r="F55" s="2" t="s">
        <v>6</v>
      </c>
      <c r="G55" s="31"/>
      <c r="H55" s="21"/>
      <c r="I55" s="21"/>
      <c r="J55" s="32"/>
      <c r="K55" s="32" t="s">
        <v>328</v>
      </c>
      <c r="L55" s="35"/>
      <c r="M55" s="35"/>
      <c r="N55" s="35"/>
      <c r="O55" s="35"/>
      <c r="P55" s="35"/>
    </row>
    <row r="56" spans="1:16" ht="16.5" customHeight="1">
      <c r="A56" s="31" t="s">
        <v>166</v>
      </c>
      <c r="B56" s="31" t="s">
        <v>205</v>
      </c>
      <c r="C56" s="31" t="s">
        <v>210</v>
      </c>
      <c r="D56" s="31" t="s">
        <v>329</v>
      </c>
      <c r="E56" s="31" t="s">
        <v>7</v>
      </c>
      <c r="F56" s="2" t="s">
        <v>6</v>
      </c>
      <c r="G56" s="31"/>
      <c r="H56" s="21"/>
      <c r="I56" s="21"/>
      <c r="J56" s="32"/>
      <c r="K56" s="32" t="s">
        <v>330</v>
      </c>
      <c r="L56" s="35"/>
      <c r="M56" s="35"/>
      <c r="N56" s="35"/>
      <c r="O56" s="35"/>
      <c r="P56" s="35"/>
    </row>
    <row r="57" spans="1:16" ht="16.5" customHeight="1">
      <c r="A57" s="31" t="s">
        <v>166</v>
      </c>
      <c r="B57" s="31" t="s">
        <v>205</v>
      </c>
      <c r="C57" s="31" t="s">
        <v>211</v>
      </c>
      <c r="D57" s="31" t="s">
        <v>331</v>
      </c>
      <c r="E57" s="31" t="s">
        <v>7</v>
      </c>
      <c r="F57" s="2" t="s">
        <v>6</v>
      </c>
      <c r="G57" s="31"/>
      <c r="H57" s="21"/>
      <c r="I57" s="21"/>
      <c r="J57" s="32"/>
      <c r="K57" s="32" t="s">
        <v>332</v>
      </c>
      <c r="L57" s="35"/>
      <c r="M57" s="35"/>
      <c r="N57" s="35"/>
      <c r="O57" s="35"/>
      <c r="P57" s="35"/>
    </row>
    <row r="58" spans="1:16" ht="16.5" customHeight="1">
      <c r="A58" s="31" t="s">
        <v>166</v>
      </c>
      <c r="B58" s="31" t="s">
        <v>205</v>
      </c>
      <c r="C58" s="31" t="s">
        <v>212</v>
      </c>
      <c r="D58" s="31" t="s">
        <v>333</v>
      </c>
      <c r="E58" s="31" t="s">
        <v>7</v>
      </c>
      <c r="F58" s="2" t="s">
        <v>6</v>
      </c>
      <c r="G58" s="31"/>
      <c r="H58" s="21"/>
      <c r="I58" s="21"/>
      <c r="J58" s="32"/>
      <c r="K58" s="32" t="s">
        <v>334</v>
      </c>
      <c r="L58" s="35"/>
      <c r="M58" s="35"/>
      <c r="N58" s="35"/>
      <c r="O58" s="35"/>
      <c r="P58" s="35"/>
    </row>
    <row r="59" spans="1:16" ht="16.5" customHeight="1">
      <c r="A59" s="31" t="s">
        <v>166</v>
      </c>
      <c r="B59" s="31" t="s">
        <v>205</v>
      </c>
      <c r="C59" s="31" t="s">
        <v>213</v>
      </c>
      <c r="D59" s="31" t="s">
        <v>335</v>
      </c>
      <c r="E59" s="31" t="s">
        <v>7</v>
      </c>
      <c r="F59" s="2" t="s">
        <v>6</v>
      </c>
      <c r="G59" s="31"/>
      <c r="H59" s="21"/>
      <c r="J59" s="32"/>
      <c r="K59" s="32" t="s">
        <v>336</v>
      </c>
      <c r="L59" s="35"/>
      <c r="M59" s="35"/>
      <c r="N59" s="35"/>
      <c r="O59" s="35"/>
      <c r="P59" s="35"/>
    </row>
    <row r="60" spans="1:16" ht="16.5" customHeight="1">
      <c r="A60" s="31" t="s">
        <v>166</v>
      </c>
      <c r="B60" s="31" t="s">
        <v>205</v>
      </c>
      <c r="C60" s="31" t="s">
        <v>214</v>
      </c>
      <c r="D60" s="31" t="s">
        <v>337</v>
      </c>
      <c r="E60" s="31" t="s">
        <v>7</v>
      </c>
      <c r="F60" s="2" t="s">
        <v>6</v>
      </c>
      <c r="G60" s="31"/>
      <c r="H60" s="21"/>
      <c r="J60" s="32"/>
      <c r="K60" s="32" t="s">
        <v>338</v>
      </c>
      <c r="L60" s="35"/>
      <c r="M60" s="35"/>
      <c r="N60" s="35"/>
      <c r="O60" s="35"/>
      <c r="P60" s="35"/>
    </row>
    <row r="61" spans="1:16" ht="16.5" customHeight="1">
      <c r="A61" s="31" t="s">
        <v>166</v>
      </c>
      <c r="B61" s="31" t="s">
        <v>205</v>
      </c>
      <c r="C61" s="31" t="s">
        <v>215</v>
      </c>
      <c r="D61" s="31" t="s">
        <v>339</v>
      </c>
      <c r="E61" s="31" t="s">
        <v>5</v>
      </c>
      <c r="F61" s="2" t="s">
        <v>6</v>
      </c>
      <c r="G61" s="31"/>
      <c r="H61" s="21"/>
      <c r="J61" s="32"/>
      <c r="K61" s="32" t="s">
        <v>340</v>
      </c>
      <c r="L61" s="35"/>
      <c r="M61" s="35"/>
      <c r="N61" s="35"/>
      <c r="O61" s="35"/>
      <c r="P61" s="35"/>
    </row>
    <row r="62" spans="1:16" ht="16.5" customHeight="1">
      <c r="A62" s="31" t="s">
        <v>166</v>
      </c>
      <c r="B62" s="31" t="s">
        <v>205</v>
      </c>
      <c r="C62" s="31" t="s">
        <v>216</v>
      </c>
      <c r="D62" s="31" t="s">
        <v>341</v>
      </c>
      <c r="E62" s="31" t="s">
        <v>8</v>
      </c>
      <c r="F62" s="2" t="s">
        <v>6</v>
      </c>
      <c r="G62" s="31"/>
      <c r="H62" s="21"/>
      <c r="I62" s="21"/>
      <c r="J62" s="32"/>
      <c r="K62" s="32" t="s">
        <v>342</v>
      </c>
      <c r="L62" s="35"/>
      <c r="M62" s="35"/>
      <c r="N62" s="35"/>
      <c r="O62" s="35"/>
      <c r="P62" s="35"/>
    </row>
    <row r="63" spans="1:16" ht="16.5" customHeight="1">
      <c r="A63" s="31" t="s">
        <v>166</v>
      </c>
      <c r="B63" s="31" t="s">
        <v>217</v>
      </c>
      <c r="C63" s="31" t="s">
        <v>207</v>
      </c>
      <c r="D63" s="31" t="s">
        <v>343</v>
      </c>
      <c r="E63" s="31" t="s">
        <v>7</v>
      </c>
      <c r="F63" s="2" t="s">
        <v>6</v>
      </c>
      <c r="G63" s="31"/>
      <c r="H63" s="21" t="s">
        <v>13</v>
      </c>
      <c r="I63" s="21"/>
      <c r="J63" s="32"/>
      <c r="K63" s="32" t="s">
        <v>344</v>
      </c>
      <c r="L63" s="35"/>
      <c r="M63" s="35"/>
      <c r="N63" s="35"/>
      <c r="O63" s="35"/>
      <c r="P63" s="35"/>
    </row>
    <row r="64" spans="1:16" ht="16.5" customHeight="1">
      <c r="A64" s="31" t="s">
        <v>166</v>
      </c>
      <c r="B64" s="31" t="s">
        <v>217</v>
      </c>
      <c r="C64" s="31" t="s">
        <v>218</v>
      </c>
      <c r="D64" s="31" t="s">
        <v>345</v>
      </c>
      <c r="E64" s="31"/>
      <c r="F64" s="2" t="s">
        <v>6</v>
      </c>
      <c r="G64" s="31"/>
      <c r="H64" s="21"/>
      <c r="I64" s="21"/>
      <c r="J64" s="32"/>
      <c r="K64" s="32" t="s">
        <v>346</v>
      </c>
      <c r="L64" s="35"/>
      <c r="M64" s="35"/>
      <c r="N64" s="35"/>
      <c r="O64" s="35"/>
      <c r="P64" s="35"/>
    </row>
    <row r="65" spans="1:16" ht="16.5" customHeight="1">
      <c r="A65" s="31" t="s">
        <v>166</v>
      </c>
      <c r="B65" s="31" t="s">
        <v>217</v>
      </c>
      <c r="C65" s="31" t="s">
        <v>219</v>
      </c>
      <c r="D65" s="31" t="s">
        <v>347</v>
      </c>
      <c r="E65" s="31" t="s">
        <v>7</v>
      </c>
      <c r="F65" s="2" t="s">
        <v>6</v>
      </c>
      <c r="G65" s="31"/>
      <c r="H65" s="21"/>
      <c r="I65" s="21"/>
      <c r="J65" s="32"/>
      <c r="K65" s="32" t="s">
        <v>348</v>
      </c>
      <c r="L65" s="35"/>
      <c r="M65" s="35"/>
      <c r="N65" s="35"/>
      <c r="O65" s="35"/>
      <c r="P65" s="35"/>
    </row>
    <row r="66" spans="1:16" ht="16.5" customHeight="1">
      <c r="A66" s="31" t="s">
        <v>166</v>
      </c>
      <c r="B66" s="31" t="s">
        <v>217</v>
      </c>
      <c r="C66" s="31" t="s">
        <v>220</v>
      </c>
      <c r="D66" s="31" t="s">
        <v>349</v>
      </c>
      <c r="E66" s="31" t="s">
        <v>8</v>
      </c>
      <c r="F66" s="2" t="s">
        <v>6</v>
      </c>
      <c r="G66" s="31"/>
      <c r="H66" s="21"/>
      <c r="I66" s="21"/>
      <c r="J66" s="32"/>
      <c r="K66" s="32" t="s">
        <v>350</v>
      </c>
      <c r="L66" s="35"/>
      <c r="M66" s="35"/>
      <c r="N66" s="35"/>
      <c r="O66" s="35"/>
      <c r="P66" s="35"/>
    </row>
    <row r="67" spans="1:16" ht="16.5" customHeight="1">
      <c r="A67" s="31" t="s">
        <v>166</v>
      </c>
      <c r="B67" s="31" t="s">
        <v>217</v>
      </c>
      <c r="C67" s="31" t="s">
        <v>221</v>
      </c>
      <c r="D67" s="31" t="s">
        <v>351</v>
      </c>
      <c r="E67" s="31" t="s">
        <v>8</v>
      </c>
      <c r="F67" s="2" t="s">
        <v>6</v>
      </c>
      <c r="G67" s="31"/>
      <c r="H67" s="21" t="s">
        <v>13</v>
      </c>
      <c r="I67" s="21"/>
      <c r="J67" s="32"/>
      <c r="K67" s="32" t="s">
        <v>352</v>
      </c>
      <c r="L67" s="35"/>
      <c r="M67" s="35"/>
      <c r="N67" s="35"/>
      <c r="O67" s="35"/>
      <c r="P67" s="35"/>
    </row>
    <row r="68" spans="1:16" ht="16.5" customHeight="1">
      <c r="A68" s="31" t="s">
        <v>166</v>
      </c>
      <c r="B68" s="31" t="s">
        <v>217</v>
      </c>
      <c r="C68" s="31" t="s">
        <v>222</v>
      </c>
      <c r="D68" s="31" t="s">
        <v>353</v>
      </c>
      <c r="E68" s="31" t="s">
        <v>8</v>
      </c>
      <c r="F68" s="2" t="s">
        <v>6</v>
      </c>
      <c r="G68" s="31"/>
      <c r="H68" s="21"/>
      <c r="I68" s="21"/>
      <c r="J68" s="32"/>
      <c r="K68" s="32" t="s">
        <v>354</v>
      </c>
      <c r="L68" s="35"/>
      <c r="M68" s="35"/>
      <c r="N68" s="35"/>
      <c r="O68" s="35"/>
      <c r="P68" s="35"/>
    </row>
    <row r="69" spans="1:16" ht="16.5" customHeight="1">
      <c r="A69" s="31" t="s">
        <v>166</v>
      </c>
      <c r="B69" s="31" t="s">
        <v>217</v>
      </c>
      <c r="C69" s="31" t="s">
        <v>223</v>
      </c>
      <c r="D69" s="31" t="s">
        <v>355</v>
      </c>
      <c r="E69" s="31" t="s">
        <v>8</v>
      </c>
      <c r="F69" s="2" t="s">
        <v>6</v>
      </c>
      <c r="G69" s="31"/>
      <c r="H69" s="21"/>
      <c r="I69" s="21"/>
      <c r="J69" s="32"/>
      <c r="K69" s="32" t="s">
        <v>356</v>
      </c>
      <c r="L69" s="35"/>
      <c r="M69" s="35"/>
      <c r="N69" s="35"/>
      <c r="O69" s="35"/>
      <c r="P69" s="35"/>
    </row>
    <row r="70" spans="1:16" ht="16.5" customHeight="1">
      <c r="A70" s="31" t="s">
        <v>166</v>
      </c>
      <c r="B70" s="31" t="s">
        <v>217</v>
      </c>
      <c r="C70" s="31" t="s">
        <v>224</v>
      </c>
      <c r="D70" s="31" t="s">
        <v>357</v>
      </c>
      <c r="E70" s="31" t="s">
        <v>8</v>
      </c>
      <c r="F70" s="2" t="s">
        <v>6</v>
      </c>
      <c r="G70" s="31"/>
      <c r="H70" s="21"/>
      <c r="I70" s="21"/>
      <c r="J70" s="32"/>
      <c r="K70" s="32" t="s">
        <v>358</v>
      </c>
      <c r="L70" s="35"/>
      <c r="M70" s="35"/>
      <c r="N70" s="35"/>
      <c r="O70" s="35"/>
      <c r="P70" s="35"/>
    </row>
    <row r="71" spans="1:16" ht="16.5" customHeight="1">
      <c r="A71" s="31" t="s">
        <v>166</v>
      </c>
      <c r="B71" s="31" t="s">
        <v>217</v>
      </c>
      <c r="C71" s="31" t="s">
        <v>225</v>
      </c>
      <c r="D71" s="31" t="s">
        <v>359</v>
      </c>
      <c r="E71" s="31" t="s">
        <v>8</v>
      </c>
      <c r="F71" s="2" t="s">
        <v>6</v>
      </c>
      <c r="G71" s="31"/>
      <c r="H71" s="21"/>
      <c r="I71" s="21"/>
      <c r="J71" s="32"/>
      <c r="K71" s="32" t="s">
        <v>360</v>
      </c>
      <c r="L71" s="35"/>
      <c r="M71" s="35"/>
      <c r="N71" s="35"/>
      <c r="O71" s="35"/>
      <c r="P71" s="35"/>
    </row>
    <row r="72" spans="1:16" ht="16.5" customHeight="1">
      <c r="A72" s="31" t="s">
        <v>166</v>
      </c>
      <c r="B72" s="31" t="s">
        <v>217</v>
      </c>
      <c r="C72" s="31" t="s">
        <v>226</v>
      </c>
      <c r="D72" s="31" t="s">
        <v>361</v>
      </c>
      <c r="E72" s="31" t="s">
        <v>8</v>
      </c>
      <c r="F72" s="2" t="s">
        <v>6</v>
      </c>
      <c r="G72" s="31"/>
      <c r="H72" s="21"/>
      <c r="I72" s="21"/>
      <c r="J72" s="32"/>
      <c r="K72" s="32" t="s">
        <v>362</v>
      </c>
      <c r="L72" s="35"/>
      <c r="M72" s="35"/>
      <c r="N72" s="35"/>
      <c r="O72" s="35"/>
      <c r="P72" s="35"/>
    </row>
    <row r="73" spans="1:16" ht="16.5" customHeight="1">
      <c r="A73" s="31" t="s">
        <v>166</v>
      </c>
      <c r="B73" s="31" t="s">
        <v>217</v>
      </c>
      <c r="C73" s="31" t="s">
        <v>227</v>
      </c>
      <c r="D73" s="31" t="s">
        <v>363</v>
      </c>
      <c r="E73" s="31" t="s">
        <v>8</v>
      </c>
      <c r="F73" s="2" t="s">
        <v>6</v>
      </c>
      <c r="G73" s="31"/>
      <c r="H73" s="21" t="s">
        <v>13</v>
      </c>
      <c r="I73" s="21"/>
      <c r="J73" s="32"/>
      <c r="K73" s="33" t="s">
        <v>364</v>
      </c>
      <c r="L73" s="35"/>
      <c r="M73" s="35"/>
      <c r="N73" s="35"/>
      <c r="O73" s="35"/>
      <c r="P73" s="35"/>
    </row>
    <row r="74" spans="1:16" ht="16.5" customHeight="1">
      <c r="A74" s="31" t="s">
        <v>166</v>
      </c>
      <c r="B74" s="31" t="s">
        <v>217</v>
      </c>
      <c r="C74" s="31" t="s">
        <v>228</v>
      </c>
      <c r="D74" s="31" t="s">
        <v>365</v>
      </c>
      <c r="E74" s="31" t="s">
        <v>7</v>
      </c>
      <c r="F74" s="2" t="s">
        <v>6</v>
      </c>
      <c r="G74" s="31"/>
      <c r="H74" s="21" t="s">
        <v>13</v>
      </c>
      <c r="I74" s="21"/>
      <c r="J74" s="32"/>
      <c r="K74" s="32" t="s">
        <v>366</v>
      </c>
      <c r="L74" s="35"/>
      <c r="M74" s="35"/>
      <c r="N74" s="35"/>
      <c r="O74" s="35"/>
      <c r="P74" s="35"/>
    </row>
    <row r="75" spans="1:16" ht="16.5" customHeight="1">
      <c r="A75" s="31" t="s">
        <v>116</v>
      </c>
      <c r="B75" s="31" t="s">
        <v>117</v>
      </c>
      <c r="C75" s="31" t="s">
        <v>118</v>
      </c>
      <c r="D75" s="31" t="s">
        <v>367</v>
      </c>
      <c r="E75" s="31" t="s">
        <v>5</v>
      </c>
      <c r="F75" s="2" t="s">
        <v>6</v>
      </c>
      <c r="G75" s="31"/>
      <c r="H75" s="21" t="s">
        <v>13</v>
      </c>
      <c r="I75" s="21"/>
      <c r="J75" s="32"/>
      <c r="K75" s="32" t="s">
        <v>368</v>
      </c>
      <c r="L75" s="35"/>
      <c r="M75" s="35"/>
      <c r="N75" s="35"/>
      <c r="O75" s="35"/>
      <c r="P75" s="35"/>
    </row>
    <row r="76" spans="1:16" ht="16.5" customHeight="1">
      <c r="A76" s="31" t="s">
        <v>116</v>
      </c>
      <c r="B76" s="31" t="s">
        <v>117</v>
      </c>
      <c r="C76" s="31" t="s">
        <v>119</v>
      </c>
      <c r="D76" s="31" t="s">
        <v>369</v>
      </c>
      <c r="E76" s="31" t="s">
        <v>5</v>
      </c>
      <c r="F76" s="2" t="s">
        <v>6</v>
      </c>
      <c r="G76" s="31"/>
      <c r="H76" s="21" t="s">
        <v>13</v>
      </c>
      <c r="I76" s="21"/>
      <c r="J76" s="32"/>
      <c r="K76" s="32" t="s">
        <v>370</v>
      </c>
      <c r="L76" s="35"/>
      <c r="M76" s="35"/>
      <c r="N76" s="35"/>
      <c r="O76" s="35"/>
      <c r="P76" s="35"/>
    </row>
    <row r="77" spans="1:16" ht="16.5" customHeight="1">
      <c r="A77" s="31" t="s">
        <v>116</v>
      </c>
      <c r="B77" s="31" t="s">
        <v>116</v>
      </c>
      <c r="C77" s="31" t="s">
        <v>120</v>
      </c>
      <c r="D77" s="31" t="s">
        <v>371</v>
      </c>
      <c r="E77" s="31" t="s">
        <v>8</v>
      </c>
      <c r="F77" s="2" t="s">
        <v>6</v>
      </c>
      <c r="G77" s="31"/>
      <c r="H77" s="21"/>
      <c r="I77" s="21"/>
      <c r="J77" s="32"/>
      <c r="K77" s="32" t="s">
        <v>372</v>
      </c>
      <c r="L77" s="35"/>
      <c r="M77" s="35"/>
      <c r="N77" s="35"/>
      <c r="O77" s="35"/>
      <c r="P77" s="35"/>
    </row>
    <row r="78" spans="1:16" ht="16.5" customHeight="1">
      <c r="A78" s="31" t="s">
        <v>116</v>
      </c>
      <c r="B78" s="31" t="s">
        <v>116</v>
      </c>
      <c r="C78" s="31" t="s">
        <v>121</v>
      </c>
      <c r="D78" s="31" t="s">
        <v>373</v>
      </c>
      <c r="E78" s="31" t="s">
        <v>8</v>
      </c>
      <c r="F78" s="2" t="s">
        <v>6</v>
      </c>
      <c r="G78" s="31"/>
      <c r="H78" s="21"/>
      <c r="I78" s="21"/>
      <c r="J78" s="32"/>
      <c r="K78" s="33" t="s">
        <v>374</v>
      </c>
      <c r="L78" s="35"/>
      <c r="M78" s="35"/>
      <c r="N78" s="35"/>
      <c r="O78" s="35"/>
      <c r="P78" s="35"/>
    </row>
    <row r="79" spans="1:16" ht="16.5" customHeight="1">
      <c r="A79" s="31" t="s">
        <v>116</v>
      </c>
      <c r="B79" s="31" t="s">
        <v>116</v>
      </c>
      <c r="C79" s="31" t="s">
        <v>122</v>
      </c>
      <c r="D79" s="31" t="s">
        <v>375</v>
      </c>
      <c r="E79" s="31" t="s">
        <v>5</v>
      </c>
      <c r="F79" s="2" t="s">
        <v>6</v>
      </c>
      <c r="G79" s="31"/>
      <c r="H79" s="21"/>
      <c r="I79" s="21"/>
      <c r="J79" s="32"/>
      <c r="K79" s="32" t="s">
        <v>376</v>
      </c>
      <c r="L79" s="35"/>
      <c r="M79" s="35"/>
      <c r="N79" s="35"/>
      <c r="O79" s="35"/>
      <c r="P79" s="35"/>
    </row>
    <row r="80" spans="1:16" ht="16.5" customHeight="1">
      <c r="A80" s="31" t="s">
        <v>116</v>
      </c>
      <c r="B80" s="31" t="s">
        <v>116</v>
      </c>
      <c r="C80" s="31" t="s">
        <v>123</v>
      </c>
      <c r="D80" s="31" t="s">
        <v>377</v>
      </c>
      <c r="E80" s="31" t="s">
        <v>8</v>
      </c>
      <c r="F80" s="2" t="s">
        <v>6</v>
      </c>
      <c r="G80" s="31"/>
      <c r="H80" s="21"/>
      <c r="I80" s="21"/>
      <c r="J80" s="32"/>
      <c r="K80" s="33" t="s">
        <v>378</v>
      </c>
      <c r="L80" s="35"/>
      <c r="M80" s="35"/>
      <c r="N80" s="35"/>
      <c r="O80" s="35"/>
      <c r="P80" s="35"/>
    </row>
    <row r="81" spans="1:16" ht="16.5" customHeight="1">
      <c r="A81" s="31" t="s">
        <v>116</v>
      </c>
      <c r="B81" s="31" t="s">
        <v>124</v>
      </c>
      <c r="C81" s="31" t="s">
        <v>126</v>
      </c>
      <c r="D81" s="31" t="s">
        <v>379</v>
      </c>
      <c r="E81" s="31" t="s">
        <v>5</v>
      </c>
      <c r="F81" s="2" t="s">
        <v>6</v>
      </c>
      <c r="G81" s="31"/>
      <c r="H81" s="21"/>
      <c r="I81" s="21" t="s">
        <v>19</v>
      </c>
      <c r="J81" s="32"/>
      <c r="K81" s="32" t="s">
        <v>380</v>
      </c>
      <c r="L81" s="35"/>
      <c r="M81" s="35"/>
      <c r="N81" s="35"/>
      <c r="O81" s="35"/>
      <c r="P81" s="35"/>
    </row>
    <row r="82" spans="1:16" ht="16.5" customHeight="1">
      <c r="A82" s="31" t="s">
        <v>116</v>
      </c>
      <c r="B82" s="31" t="s">
        <v>124</v>
      </c>
      <c r="C82" s="31" t="s">
        <v>127</v>
      </c>
      <c r="D82" s="31" t="s">
        <v>381</v>
      </c>
      <c r="E82" s="31" t="s">
        <v>8</v>
      </c>
      <c r="F82" s="2" t="s">
        <v>6</v>
      </c>
      <c r="G82" s="31"/>
      <c r="H82" s="21"/>
      <c r="I82" s="21"/>
      <c r="J82" s="32"/>
      <c r="K82" s="32" t="s">
        <v>382</v>
      </c>
      <c r="L82" s="35"/>
      <c r="M82" s="35"/>
      <c r="N82" s="35"/>
      <c r="O82" s="35"/>
      <c r="P82" s="35"/>
    </row>
    <row r="83" spans="1:16" ht="16.5" customHeight="1">
      <c r="A83" s="31" t="s">
        <v>116</v>
      </c>
      <c r="B83" s="31" t="s">
        <v>124</v>
      </c>
      <c r="C83" s="31" t="s">
        <v>128</v>
      </c>
      <c r="D83" s="31" t="s">
        <v>383</v>
      </c>
      <c r="E83" s="31" t="s">
        <v>7</v>
      </c>
      <c r="F83" s="2" t="s">
        <v>6</v>
      </c>
      <c r="G83" s="31"/>
      <c r="H83" s="21"/>
      <c r="I83" s="21"/>
      <c r="J83" s="32"/>
      <c r="K83" s="32" t="s">
        <v>384</v>
      </c>
      <c r="L83" s="35"/>
      <c r="M83" s="35"/>
      <c r="N83" s="35"/>
      <c r="O83" s="35"/>
      <c r="P83" s="35"/>
    </row>
    <row r="84" spans="1:16" ht="16.5" customHeight="1">
      <c r="A84" s="31" t="s">
        <v>150</v>
      </c>
      <c r="B84" s="31" t="s">
        <v>150</v>
      </c>
      <c r="C84" s="31" t="s">
        <v>151</v>
      </c>
      <c r="D84" s="31" t="s">
        <v>385</v>
      </c>
      <c r="E84" s="31" t="s">
        <v>5</v>
      </c>
      <c r="F84" s="2" t="s">
        <v>6</v>
      </c>
      <c r="G84" s="31"/>
      <c r="H84" s="21" t="s">
        <v>13</v>
      </c>
      <c r="I84" s="21"/>
      <c r="J84" s="32"/>
      <c r="K84" s="32" t="s">
        <v>386</v>
      </c>
      <c r="L84" s="35"/>
      <c r="M84" s="35"/>
      <c r="N84" s="35"/>
      <c r="O84" s="35"/>
      <c r="P84" s="35"/>
    </row>
    <row r="85" spans="1:16" ht="16.5" customHeight="1">
      <c r="A85" s="31" t="s">
        <v>150</v>
      </c>
      <c r="B85" s="31" t="s">
        <v>150</v>
      </c>
      <c r="C85" s="31" t="s">
        <v>152</v>
      </c>
      <c r="D85" s="31" t="s">
        <v>387</v>
      </c>
      <c r="E85" s="31" t="s">
        <v>5</v>
      </c>
      <c r="F85" s="2" t="s">
        <v>6</v>
      </c>
      <c r="G85" s="31"/>
      <c r="H85" s="21"/>
      <c r="I85" s="21"/>
      <c r="J85" s="32"/>
      <c r="K85" s="33" t="s">
        <v>388</v>
      </c>
      <c r="L85" s="35"/>
      <c r="M85" s="35"/>
      <c r="N85" s="35"/>
      <c r="O85" s="35"/>
      <c r="P85" s="35"/>
    </row>
    <row r="86" spans="1:16" ht="15.75" customHeight="1">
      <c r="A86" s="31" t="s">
        <v>150</v>
      </c>
      <c r="B86" s="31" t="s">
        <v>150</v>
      </c>
      <c r="C86" s="31" t="s">
        <v>389</v>
      </c>
      <c r="D86" s="31" t="s">
        <v>390</v>
      </c>
      <c r="E86" s="31" t="s">
        <v>8</v>
      </c>
      <c r="F86" s="2" t="s">
        <v>6</v>
      </c>
      <c r="G86" s="31"/>
      <c r="H86" s="21"/>
      <c r="I86" s="21"/>
      <c r="J86" s="32"/>
      <c r="K86" s="32" t="s">
        <v>391</v>
      </c>
      <c r="L86" s="35"/>
      <c r="M86" s="35"/>
      <c r="N86" s="35"/>
      <c r="O86" s="35"/>
      <c r="P86" s="35"/>
    </row>
    <row r="87" spans="1:16" ht="16.5" customHeight="1">
      <c r="A87" s="31" t="s">
        <v>150</v>
      </c>
      <c r="B87" s="31" t="s">
        <v>150</v>
      </c>
      <c r="C87" s="31" t="s">
        <v>392</v>
      </c>
      <c r="D87" s="31" t="s">
        <v>393</v>
      </c>
      <c r="E87" s="31" t="s">
        <v>5</v>
      </c>
      <c r="F87" s="2" t="s">
        <v>6</v>
      </c>
      <c r="G87" s="31"/>
      <c r="H87" s="21"/>
      <c r="I87" s="21"/>
      <c r="J87" s="32"/>
      <c r="K87" s="32" t="s">
        <v>394</v>
      </c>
      <c r="L87" s="35"/>
      <c r="M87" s="35"/>
      <c r="N87" s="35"/>
      <c r="O87" s="35"/>
      <c r="P87" s="35"/>
    </row>
    <row r="88" spans="1:16" ht="16.5" customHeight="1">
      <c r="A88" s="31" t="s">
        <v>150</v>
      </c>
      <c r="B88" s="31" t="s">
        <v>155</v>
      </c>
      <c r="C88" s="31" t="s">
        <v>153</v>
      </c>
      <c r="D88" s="31" t="s">
        <v>395</v>
      </c>
      <c r="E88" s="31" t="s">
        <v>8</v>
      </c>
      <c r="F88" s="2" t="s">
        <v>6</v>
      </c>
      <c r="G88" s="31"/>
      <c r="H88" s="21"/>
      <c r="I88" s="21"/>
      <c r="J88" s="32"/>
      <c r="K88" s="32" t="s">
        <v>396</v>
      </c>
      <c r="L88" s="35"/>
      <c r="M88" s="35"/>
      <c r="N88" s="35"/>
      <c r="O88" s="35"/>
      <c r="P88" s="35"/>
    </row>
    <row r="89" spans="1:16" ht="16.5" customHeight="1">
      <c r="A89" s="31" t="s">
        <v>150</v>
      </c>
      <c r="B89" s="31" t="s">
        <v>155</v>
      </c>
      <c r="C89" s="31" t="s">
        <v>154</v>
      </c>
      <c r="D89" s="31" t="s">
        <v>397</v>
      </c>
      <c r="E89" s="31" t="s">
        <v>8</v>
      </c>
      <c r="F89" s="2" t="s">
        <v>6</v>
      </c>
      <c r="G89" s="31"/>
      <c r="H89" s="21"/>
      <c r="I89" s="21"/>
      <c r="J89" s="32"/>
      <c r="K89" s="32" t="s">
        <v>398</v>
      </c>
      <c r="L89" s="35"/>
      <c r="M89" s="35"/>
      <c r="N89" s="35"/>
      <c r="O89" s="35"/>
      <c r="P89" s="35"/>
    </row>
    <row r="90" spans="1:16" ht="16.5" customHeight="1">
      <c r="A90" s="31" t="s">
        <v>150</v>
      </c>
      <c r="B90" s="31" t="s">
        <v>156</v>
      </c>
      <c r="C90" s="31" t="s">
        <v>157</v>
      </c>
      <c r="D90" s="31" t="s">
        <v>399</v>
      </c>
      <c r="E90" s="31" t="s">
        <v>8</v>
      </c>
      <c r="F90" s="2" t="s">
        <v>6</v>
      </c>
      <c r="G90" s="31"/>
      <c r="H90" s="21" t="s">
        <v>13</v>
      </c>
      <c r="I90" s="21"/>
      <c r="J90" s="32"/>
      <c r="K90" s="32" t="s">
        <v>400</v>
      </c>
      <c r="L90" s="35"/>
      <c r="M90" s="35"/>
      <c r="N90" s="35"/>
      <c r="O90" s="35"/>
      <c r="P90" s="35"/>
    </row>
    <row r="91" spans="1:16" ht="16.5" customHeight="1">
      <c r="A91" s="31" t="s">
        <v>150</v>
      </c>
      <c r="B91" s="31" t="s">
        <v>156</v>
      </c>
      <c r="C91" s="31" t="s">
        <v>158</v>
      </c>
      <c r="D91" s="31" t="s">
        <v>401</v>
      </c>
      <c r="E91" s="31" t="s">
        <v>8</v>
      </c>
      <c r="F91" s="2" t="s">
        <v>6</v>
      </c>
      <c r="G91" s="31"/>
      <c r="H91" s="21" t="s">
        <v>13</v>
      </c>
      <c r="I91" s="21"/>
      <c r="J91" s="32"/>
      <c r="K91" s="32" t="s">
        <v>402</v>
      </c>
      <c r="L91" s="35"/>
      <c r="M91" s="35"/>
      <c r="N91" s="35"/>
      <c r="O91" s="35"/>
      <c r="P91" s="35"/>
    </row>
    <row r="92" spans="1:16" ht="16.5" customHeight="1">
      <c r="A92" s="31" t="s">
        <v>150</v>
      </c>
      <c r="B92" s="31" t="s">
        <v>156</v>
      </c>
      <c r="C92" s="31" t="s">
        <v>159</v>
      </c>
      <c r="D92" s="31" t="s">
        <v>403</v>
      </c>
      <c r="E92" s="31" t="s">
        <v>8</v>
      </c>
      <c r="F92" s="2" t="s">
        <v>6</v>
      </c>
      <c r="G92" s="31"/>
      <c r="H92" s="21" t="s">
        <v>13</v>
      </c>
      <c r="I92" s="21" t="s">
        <v>19</v>
      </c>
      <c r="J92" s="32"/>
      <c r="K92" s="32" t="s">
        <v>404</v>
      </c>
      <c r="L92" s="35"/>
      <c r="M92" s="35"/>
      <c r="N92" s="35"/>
      <c r="O92" s="35"/>
      <c r="P92" s="35"/>
    </row>
    <row r="93" spans="1:16" ht="16.5" customHeight="1">
      <c r="A93" s="31" t="s">
        <v>150</v>
      </c>
      <c r="B93" s="31" t="s">
        <v>160</v>
      </c>
      <c r="C93" s="31" t="s">
        <v>161</v>
      </c>
      <c r="D93" s="31" t="s">
        <v>405</v>
      </c>
      <c r="E93" s="31"/>
      <c r="F93" s="2" t="s">
        <v>6</v>
      </c>
      <c r="G93" s="31"/>
      <c r="H93" s="21" t="s">
        <v>13</v>
      </c>
      <c r="I93" s="21"/>
      <c r="J93" s="32"/>
      <c r="K93" s="32" t="s">
        <v>406</v>
      </c>
      <c r="L93" s="35"/>
      <c r="M93" s="35"/>
      <c r="N93" s="35"/>
      <c r="O93" s="35"/>
      <c r="P93" s="35"/>
    </row>
    <row r="94" spans="1:16" ht="16.5" customHeight="1">
      <c r="A94" s="31" t="s">
        <v>150</v>
      </c>
      <c r="B94" s="31" t="s">
        <v>160</v>
      </c>
      <c r="C94" s="31" t="s">
        <v>162</v>
      </c>
      <c r="D94" s="31" t="s">
        <v>407</v>
      </c>
      <c r="E94" s="31" t="s">
        <v>5</v>
      </c>
      <c r="F94" s="2" t="s">
        <v>6</v>
      </c>
      <c r="G94" s="31"/>
      <c r="H94" s="21"/>
      <c r="I94" s="21"/>
      <c r="J94" s="32"/>
      <c r="K94" s="32" t="s">
        <v>408</v>
      </c>
      <c r="L94" s="35"/>
      <c r="M94" s="35"/>
      <c r="N94" s="35"/>
      <c r="O94" s="35"/>
      <c r="P94" s="35"/>
    </row>
    <row r="95" spans="1:16" ht="16.5" customHeight="1">
      <c r="A95" s="31" t="s">
        <v>150</v>
      </c>
      <c r="B95" s="31" t="s">
        <v>160</v>
      </c>
      <c r="C95" s="31" t="s">
        <v>163</v>
      </c>
      <c r="D95" s="31" t="s">
        <v>409</v>
      </c>
      <c r="E95" s="31" t="s">
        <v>5</v>
      </c>
      <c r="F95" s="2" t="s">
        <v>6</v>
      </c>
      <c r="G95" s="31"/>
      <c r="H95" s="21" t="s">
        <v>13</v>
      </c>
      <c r="I95" s="21"/>
      <c r="J95" s="32"/>
      <c r="K95" s="32" t="s">
        <v>410</v>
      </c>
      <c r="L95" s="35"/>
      <c r="M95" s="35"/>
      <c r="N95" s="35"/>
      <c r="O95" s="35"/>
      <c r="P95" s="35"/>
    </row>
    <row r="96" spans="1:16" ht="16.5" customHeight="1">
      <c r="A96" s="31" t="s">
        <v>150</v>
      </c>
      <c r="B96" s="31" t="s">
        <v>160</v>
      </c>
      <c r="C96" s="31" t="s">
        <v>164</v>
      </c>
      <c r="D96" s="31" t="s">
        <v>411</v>
      </c>
      <c r="E96" s="31" t="s">
        <v>5</v>
      </c>
      <c r="F96" s="2" t="s">
        <v>6</v>
      </c>
      <c r="G96" s="31"/>
      <c r="H96" s="21"/>
      <c r="I96" s="21"/>
      <c r="J96" s="32"/>
      <c r="K96" s="32" t="s">
        <v>412</v>
      </c>
      <c r="L96" s="35"/>
      <c r="M96" s="35"/>
      <c r="N96" s="35"/>
      <c r="O96" s="35"/>
      <c r="P96" s="35"/>
    </row>
    <row r="97" spans="1:16" ht="16.5" customHeight="1">
      <c r="A97" s="31" t="s">
        <v>150</v>
      </c>
      <c r="B97" s="31" t="s">
        <v>160</v>
      </c>
      <c r="C97" s="31" t="s">
        <v>165</v>
      </c>
      <c r="D97" s="31" t="s">
        <v>413</v>
      </c>
      <c r="E97" s="31" t="s">
        <v>5</v>
      </c>
      <c r="F97" s="2" t="s">
        <v>6</v>
      </c>
      <c r="G97" s="31"/>
      <c r="H97" s="21"/>
      <c r="I97" s="21"/>
      <c r="J97" s="32"/>
      <c r="K97" s="32" t="s">
        <v>414</v>
      </c>
      <c r="L97" s="35"/>
      <c r="M97" s="35"/>
      <c r="N97" s="35"/>
      <c r="O97" s="35"/>
      <c r="P97" s="35"/>
    </row>
    <row r="98" spans="1:16" ht="16.5" customHeight="1">
      <c r="A98" s="31" t="s">
        <v>150</v>
      </c>
      <c r="B98" s="31" t="s">
        <v>156</v>
      </c>
      <c r="C98" s="31" t="s">
        <v>415</v>
      </c>
      <c r="D98" s="31" t="s">
        <v>416</v>
      </c>
      <c r="E98" s="31" t="s">
        <v>5</v>
      </c>
      <c r="F98" s="2" t="s">
        <v>6</v>
      </c>
      <c r="G98" s="31"/>
      <c r="H98" s="21"/>
      <c r="I98" s="21"/>
      <c r="J98" s="32"/>
      <c r="K98" s="32" t="s">
        <v>417</v>
      </c>
      <c r="L98" s="35"/>
      <c r="M98" s="35"/>
      <c r="N98" s="35"/>
      <c r="O98" s="35"/>
      <c r="P98" s="35"/>
    </row>
    <row r="99" spans="1:16" ht="16.5" customHeight="1">
      <c r="A99" s="31" t="s">
        <v>150</v>
      </c>
      <c r="B99" s="31" t="s">
        <v>156</v>
      </c>
      <c r="C99" s="31" t="s">
        <v>418</v>
      </c>
      <c r="D99" s="31" t="s">
        <v>419</v>
      </c>
      <c r="E99" s="31" t="s">
        <v>5</v>
      </c>
      <c r="F99" s="2" t="s">
        <v>6</v>
      </c>
      <c r="G99" s="31"/>
      <c r="H99" s="21"/>
      <c r="I99" s="21"/>
      <c r="J99" s="32"/>
      <c r="K99" s="32" t="s">
        <v>420</v>
      </c>
      <c r="L99" s="35"/>
      <c r="M99" s="35"/>
      <c r="N99" s="35"/>
      <c r="O99" s="35"/>
      <c r="P99" s="35"/>
    </row>
    <row r="100" spans="1:16" ht="16.5" customHeight="1">
      <c r="A100" s="31" t="s">
        <v>150</v>
      </c>
      <c r="B100" s="31" t="s">
        <v>156</v>
      </c>
      <c r="C100" s="31" t="s">
        <v>421</v>
      </c>
      <c r="D100" s="31" t="s">
        <v>422</v>
      </c>
      <c r="E100" s="31" t="s">
        <v>5</v>
      </c>
      <c r="F100" s="2" t="s">
        <v>6</v>
      </c>
      <c r="G100" s="31"/>
      <c r="H100" s="21"/>
      <c r="I100" s="21"/>
      <c r="J100" s="32"/>
      <c r="K100" s="32" t="s">
        <v>423</v>
      </c>
      <c r="L100" s="35"/>
      <c r="M100" s="35"/>
      <c r="N100" s="35"/>
      <c r="O100" s="35"/>
      <c r="P100" s="35"/>
    </row>
    <row r="101" spans="1:16" ht="16.5" customHeight="1">
      <c r="A101" s="31" t="s">
        <v>150</v>
      </c>
      <c r="B101" s="31" t="s">
        <v>156</v>
      </c>
      <c r="C101" s="31" t="s">
        <v>424</v>
      </c>
      <c r="D101" s="31" t="s">
        <v>425</v>
      </c>
      <c r="E101" s="31" t="s">
        <v>8</v>
      </c>
      <c r="F101" s="2" t="s">
        <v>6</v>
      </c>
      <c r="G101" s="31"/>
      <c r="H101" s="21"/>
      <c r="I101" s="21"/>
      <c r="J101" s="32"/>
      <c r="K101" s="32" t="s">
        <v>426</v>
      </c>
      <c r="L101" s="35"/>
      <c r="M101" s="35"/>
      <c r="N101" s="35"/>
      <c r="O101" s="35"/>
      <c r="P101" s="35"/>
    </row>
    <row r="102" spans="1:16" ht="16.5" customHeight="1">
      <c r="A102" s="31" t="s">
        <v>150</v>
      </c>
      <c r="B102" s="31" t="s">
        <v>156</v>
      </c>
      <c r="C102" s="31" t="s">
        <v>427</v>
      </c>
      <c r="D102" s="31" t="s">
        <v>428</v>
      </c>
      <c r="E102" s="31" t="s">
        <v>8</v>
      </c>
      <c r="F102" s="2" t="s">
        <v>6</v>
      </c>
      <c r="G102" s="31"/>
      <c r="H102" s="21" t="s">
        <v>13</v>
      </c>
      <c r="I102" s="21"/>
      <c r="J102" s="32"/>
      <c r="K102" s="32" t="s">
        <v>429</v>
      </c>
      <c r="L102" s="35"/>
      <c r="M102" s="35"/>
      <c r="N102" s="35"/>
      <c r="O102" s="35"/>
      <c r="P102" s="35"/>
    </row>
    <row r="103" spans="1:16" ht="16.5" customHeight="1">
      <c r="A103" s="31" t="s">
        <v>150</v>
      </c>
      <c r="B103" s="31" t="s">
        <v>156</v>
      </c>
      <c r="C103" s="31" t="s">
        <v>430</v>
      </c>
      <c r="D103" s="31" t="s">
        <v>431</v>
      </c>
      <c r="E103" s="31" t="s">
        <v>8</v>
      </c>
      <c r="F103" s="2" t="s">
        <v>6</v>
      </c>
      <c r="G103" s="31"/>
      <c r="H103" s="21" t="s">
        <v>13</v>
      </c>
      <c r="I103" s="21"/>
      <c r="J103" s="32"/>
      <c r="K103" s="32" t="s">
        <v>432</v>
      </c>
      <c r="L103" s="35"/>
      <c r="M103" s="35"/>
      <c r="N103" s="35"/>
      <c r="O103" s="35"/>
      <c r="P103" s="35"/>
    </row>
    <row r="104" spans="1:16" ht="16.5" customHeight="1">
      <c r="A104" s="31" t="s">
        <v>150</v>
      </c>
      <c r="B104" s="31" t="s">
        <v>156</v>
      </c>
      <c r="C104" s="31" t="s">
        <v>433</v>
      </c>
      <c r="D104" s="31" t="s">
        <v>434</v>
      </c>
      <c r="E104" s="31" t="s">
        <v>8</v>
      </c>
      <c r="F104" s="2" t="s">
        <v>6</v>
      </c>
      <c r="G104" s="31"/>
      <c r="H104" s="21"/>
      <c r="I104" s="21"/>
      <c r="J104" s="32"/>
      <c r="K104" s="32" t="s">
        <v>435</v>
      </c>
      <c r="L104" s="35"/>
      <c r="M104" s="35"/>
      <c r="N104" s="35"/>
      <c r="O104" s="35"/>
      <c r="P104" s="35"/>
    </row>
    <row r="105" spans="1:16" ht="16.5" customHeight="1">
      <c r="A105" s="31" t="s">
        <v>150</v>
      </c>
      <c r="B105" s="31" t="s">
        <v>156</v>
      </c>
      <c r="C105" s="31" t="s">
        <v>436</v>
      </c>
      <c r="D105" s="31" t="s">
        <v>437</v>
      </c>
      <c r="E105" s="31" t="s">
        <v>8</v>
      </c>
      <c r="F105" s="2" t="s">
        <v>6</v>
      </c>
      <c r="G105" s="31"/>
      <c r="H105" s="21"/>
      <c r="I105" s="21"/>
      <c r="J105" s="32"/>
      <c r="K105" s="32" t="s">
        <v>438</v>
      </c>
      <c r="L105" s="35"/>
      <c r="M105" s="35"/>
      <c r="N105" s="35"/>
      <c r="O105" s="35"/>
      <c r="P105" s="35"/>
    </row>
    <row r="106" spans="1:16" ht="16.5" customHeight="1">
      <c r="A106" s="31" t="s">
        <v>150</v>
      </c>
      <c r="B106" s="31" t="s">
        <v>156</v>
      </c>
      <c r="C106" s="31" t="s">
        <v>439</v>
      </c>
      <c r="D106" s="31" t="s">
        <v>440</v>
      </c>
      <c r="E106" s="31" t="s">
        <v>8</v>
      </c>
      <c r="F106" s="2" t="s">
        <v>6</v>
      </c>
      <c r="G106" s="31"/>
      <c r="H106" s="21"/>
      <c r="I106" s="21"/>
      <c r="J106" s="32"/>
      <c r="K106" s="32" t="s">
        <v>441</v>
      </c>
      <c r="L106" s="35"/>
      <c r="M106" s="35"/>
      <c r="N106" s="35"/>
      <c r="O106" s="35"/>
      <c r="P106" s="35"/>
    </row>
    <row r="107" spans="1:16" ht="16.5" customHeight="1">
      <c r="A107" s="31" t="s">
        <v>150</v>
      </c>
      <c r="B107" s="31" t="s">
        <v>156</v>
      </c>
      <c r="C107" s="31" t="s">
        <v>442</v>
      </c>
      <c r="D107" s="31" t="s">
        <v>443</v>
      </c>
      <c r="E107" s="31" t="s">
        <v>8</v>
      </c>
      <c r="F107" s="2" t="s">
        <v>6</v>
      </c>
      <c r="G107" s="31"/>
      <c r="H107" s="21"/>
      <c r="I107" s="21"/>
      <c r="J107" s="32"/>
      <c r="K107" s="32" t="s">
        <v>444</v>
      </c>
      <c r="L107" s="35"/>
      <c r="M107" s="35"/>
      <c r="N107" s="35"/>
      <c r="O107" s="35"/>
      <c r="P107" s="35"/>
    </row>
    <row r="108" spans="1:16" ht="16.5" customHeight="1">
      <c r="A108" s="31" t="s">
        <v>150</v>
      </c>
      <c r="B108" s="31" t="s">
        <v>150</v>
      </c>
      <c r="C108" s="31" t="s">
        <v>445</v>
      </c>
      <c r="D108" s="31" t="s">
        <v>446</v>
      </c>
      <c r="E108" s="31" t="s">
        <v>8</v>
      </c>
      <c r="F108" s="2" t="s">
        <v>6</v>
      </c>
      <c r="G108" s="31"/>
      <c r="H108" s="21" t="s">
        <v>13</v>
      </c>
      <c r="I108" s="21"/>
      <c r="J108" s="32"/>
      <c r="K108" s="33" t="s">
        <v>447</v>
      </c>
      <c r="L108" s="35"/>
      <c r="M108" s="35"/>
      <c r="N108" s="35"/>
      <c r="O108" s="35"/>
      <c r="P108" s="35"/>
    </row>
    <row r="109" spans="1:16" ht="16.5" customHeight="1">
      <c r="A109" s="31" t="s">
        <v>150</v>
      </c>
      <c r="B109" s="31" t="s">
        <v>150</v>
      </c>
      <c r="C109" s="31" t="s">
        <v>448</v>
      </c>
      <c r="D109" s="31" t="s">
        <v>449</v>
      </c>
      <c r="E109" s="31" t="s">
        <v>8</v>
      </c>
      <c r="F109" s="2" t="s">
        <v>6</v>
      </c>
      <c r="G109" s="31"/>
      <c r="H109" s="21"/>
      <c r="I109" s="21"/>
      <c r="J109" s="32"/>
      <c r="K109" s="32" t="s">
        <v>450</v>
      </c>
      <c r="L109" s="35"/>
      <c r="M109" s="35"/>
      <c r="N109" s="35"/>
      <c r="O109" s="35"/>
      <c r="P109" s="35"/>
    </row>
    <row r="110" spans="1:16" ht="16.5" customHeight="1">
      <c r="A110" s="31" t="s">
        <v>150</v>
      </c>
      <c r="B110" s="31" t="s">
        <v>150</v>
      </c>
      <c r="C110" s="31" t="s">
        <v>451</v>
      </c>
      <c r="D110" s="31" t="s">
        <v>452</v>
      </c>
      <c r="E110" s="31" t="s">
        <v>8</v>
      </c>
      <c r="F110" s="2" t="s">
        <v>6</v>
      </c>
      <c r="G110" s="31"/>
      <c r="H110" s="21"/>
      <c r="I110" s="21"/>
      <c r="J110" s="32"/>
      <c r="K110" s="32" t="s">
        <v>453</v>
      </c>
      <c r="L110" s="35"/>
      <c r="M110" s="35"/>
      <c r="N110" s="35"/>
      <c r="O110" s="35"/>
      <c r="P110" s="35"/>
    </row>
    <row r="111" spans="1:16" ht="16.5" customHeight="1">
      <c r="A111" s="31" t="s">
        <v>454</v>
      </c>
      <c r="B111" s="31" t="s">
        <v>455</v>
      </c>
      <c r="C111" s="31" t="s">
        <v>456</v>
      </c>
      <c r="D111" s="31" t="s">
        <v>457</v>
      </c>
      <c r="E111" s="31" t="s">
        <v>5</v>
      </c>
      <c r="F111" s="2" t="s">
        <v>6</v>
      </c>
      <c r="G111" s="31"/>
      <c r="H111" s="21"/>
      <c r="I111" s="21"/>
      <c r="J111" s="32"/>
      <c r="K111" s="32" t="s">
        <v>458</v>
      </c>
      <c r="L111" s="35"/>
      <c r="M111" s="35"/>
      <c r="N111" s="35"/>
      <c r="O111" s="35"/>
      <c r="P111" s="35"/>
    </row>
    <row r="112" spans="1:16" ht="16.5" customHeight="1">
      <c r="A112" s="31" t="s">
        <v>454</v>
      </c>
      <c r="B112" s="31" t="s">
        <v>455</v>
      </c>
      <c r="C112" s="31" t="s">
        <v>459</v>
      </c>
      <c r="D112" s="31" t="s">
        <v>460</v>
      </c>
      <c r="E112" s="31" t="s">
        <v>5</v>
      </c>
      <c r="F112" s="2" t="s">
        <v>6</v>
      </c>
      <c r="G112" s="31"/>
      <c r="H112" s="21" t="s">
        <v>13</v>
      </c>
      <c r="I112" s="21"/>
      <c r="J112" s="32"/>
      <c r="K112" s="32" t="s">
        <v>461</v>
      </c>
      <c r="L112" s="35"/>
      <c r="M112" s="35"/>
      <c r="N112" s="35"/>
      <c r="O112" s="35"/>
      <c r="P112" s="35"/>
    </row>
    <row r="113" spans="1:16" ht="16.5" customHeight="1">
      <c r="A113" s="31" t="s">
        <v>454</v>
      </c>
      <c r="B113" s="31" t="s">
        <v>455</v>
      </c>
      <c r="C113" s="31" t="s">
        <v>462</v>
      </c>
      <c r="D113" s="31" t="s">
        <v>463</v>
      </c>
      <c r="E113" s="31" t="s">
        <v>8</v>
      </c>
      <c r="F113" s="2" t="s">
        <v>6</v>
      </c>
      <c r="G113" s="31"/>
      <c r="H113" s="21"/>
      <c r="I113" s="21"/>
      <c r="J113" s="32"/>
      <c r="K113" s="32" t="s">
        <v>464</v>
      </c>
      <c r="L113" s="35"/>
      <c r="M113" s="35"/>
      <c r="N113" s="35"/>
      <c r="O113" s="35"/>
      <c r="P113" s="35"/>
    </row>
    <row r="114" spans="1:16" ht="16.5" customHeight="1">
      <c r="A114" s="31" t="s">
        <v>454</v>
      </c>
      <c r="B114" s="31" t="s">
        <v>455</v>
      </c>
      <c r="C114" s="31" t="s">
        <v>465</v>
      </c>
      <c r="D114" s="31" t="s">
        <v>466</v>
      </c>
      <c r="E114" s="31" t="s">
        <v>8</v>
      </c>
      <c r="F114" s="2" t="s">
        <v>6</v>
      </c>
      <c r="G114" s="31"/>
      <c r="H114" s="21" t="s">
        <v>13</v>
      </c>
      <c r="I114" s="21"/>
      <c r="J114" s="32"/>
      <c r="K114" s="32" t="s">
        <v>467</v>
      </c>
      <c r="L114" s="35"/>
      <c r="M114" s="35"/>
      <c r="N114" s="35"/>
      <c r="O114" s="35"/>
      <c r="P114" s="35"/>
    </row>
    <row r="115" spans="1:16" ht="16.5" customHeight="1">
      <c r="A115" s="31" t="s">
        <v>454</v>
      </c>
      <c r="B115" s="31" t="s">
        <v>455</v>
      </c>
      <c r="C115" s="31" t="s">
        <v>468</v>
      </c>
      <c r="D115" s="31" t="s">
        <v>469</v>
      </c>
      <c r="E115" s="31" t="s">
        <v>8</v>
      </c>
      <c r="F115" s="2" t="s">
        <v>6</v>
      </c>
      <c r="G115" s="31"/>
      <c r="H115" s="21" t="s">
        <v>13</v>
      </c>
      <c r="I115" s="21"/>
      <c r="J115" s="32"/>
      <c r="K115" s="33" t="s">
        <v>470</v>
      </c>
      <c r="L115" s="35"/>
      <c r="M115" s="35"/>
      <c r="N115" s="35"/>
      <c r="O115" s="35"/>
      <c r="P115" s="35"/>
    </row>
    <row r="116" spans="1:16" ht="16.5" customHeight="1">
      <c r="A116" s="31" t="s">
        <v>454</v>
      </c>
      <c r="B116" s="31" t="s">
        <v>455</v>
      </c>
      <c r="C116" s="31" t="s">
        <v>471</v>
      </c>
      <c r="D116" s="31" t="s">
        <v>472</v>
      </c>
      <c r="E116" s="31" t="s">
        <v>8</v>
      </c>
      <c r="F116" s="2" t="s">
        <v>6</v>
      </c>
      <c r="G116" s="31"/>
      <c r="H116" s="21"/>
      <c r="I116" s="21"/>
      <c r="J116" s="32"/>
      <c r="K116" s="33" t="s">
        <v>473</v>
      </c>
      <c r="L116" s="35"/>
      <c r="M116" s="35"/>
      <c r="N116" s="35"/>
      <c r="O116" s="35"/>
      <c r="P116" s="35"/>
    </row>
    <row r="117" spans="1:16" ht="16.5" customHeight="1">
      <c r="A117" s="31" t="s">
        <v>454</v>
      </c>
      <c r="B117" s="31" t="s">
        <v>455</v>
      </c>
      <c r="C117" s="31" t="s">
        <v>474</v>
      </c>
      <c r="D117" s="31" t="s">
        <v>475</v>
      </c>
      <c r="E117" s="31" t="s">
        <v>8</v>
      </c>
      <c r="F117" s="2" t="s">
        <v>6</v>
      </c>
      <c r="G117" s="31"/>
      <c r="H117" s="21"/>
      <c r="I117" s="21"/>
      <c r="J117" s="32"/>
      <c r="K117" s="32" t="s">
        <v>476</v>
      </c>
      <c r="L117" s="35"/>
      <c r="M117" s="35"/>
      <c r="N117" s="35"/>
      <c r="O117" s="35"/>
      <c r="P117" s="35"/>
    </row>
    <row r="118" spans="1:16" ht="16.5" customHeight="1">
      <c r="A118" s="31" t="s">
        <v>454</v>
      </c>
      <c r="B118" s="31" t="s">
        <v>477</v>
      </c>
      <c r="C118" s="31" t="s">
        <v>478</v>
      </c>
      <c r="D118" s="31" t="s">
        <v>479</v>
      </c>
      <c r="E118" s="31" t="s">
        <v>8</v>
      </c>
      <c r="F118" s="2" t="s">
        <v>6</v>
      </c>
      <c r="G118" s="31"/>
      <c r="H118" s="21"/>
      <c r="I118" s="21"/>
      <c r="J118" s="32"/>
      <c r="K118" s="32" t="s">
        <v>480</v>
      </c>
      <c r="L118" s="35"/>
      <c r="M118" s="35"/>
      <c r="N118" s="35"/>
      <c r="O118" s="35"/>
      <c r="P118" s="35"/>
    </row>
    <row r="119" spans="1:16" ht="16.5" customHeight="1">
      <c r="A119" s="31" t="s">
        <v>454</v>
      </c>
      <c r="B119" s="31" t="s">
        <v>477</v>
      </c>
      <c r="C119" s="31" t="s">
        <v>481</v>
      </c>
      <c r="D119" s="31" t="s">
        <v>482</v>
      </c>
      <c r="E119" s="31" t="s">
        <v>8</v>
      </c>
      <c r="F119" s="2" t="s">
        <v>6</v>
      </c>
      <c r="G119" s="31"/>
      <c r="H119" s="21"/>
      <c r="I119" s="21"/>
      <c r="J119" s="32"/>
      <c r="K119" s="33" t="s">
        <v>483</v>
      </c>
      <c r="L119" s="35"/>
      <c r="M119" s="35"/>
      <c r="N119" s="35"/>
      <c r="O119" s="35"/>
      <c r="P119" s="35"/>
    </row>
    <row r="120" spans="1:16" ht="16.5" customHeight="1">
      <c r="A120" s="31" t="s">
        <v>454</v>
      </c>
      <c r="B120" s="31" t="s">
        <v>484</v>
      </c>
      <c r="C120" s="31" t="s">
        <v>485</v>
      </c>
      <c r="D120" s="31" t="s">
        <v>486</v>
      </c>
      <c r="E120" s="31" t="s">
        <v>8</v>
      </c>
      <c r="F120" s="2" t="s">
        <v>6</v>
      </c>
      <c r="G120" s="31"/>
      <c r="H120" s="21"/>
      <c r="I120" s="21"/>
      <c r="J120" s="32"/>
      <c r="K120" s="32" t="s">
        <v>487</v>
      </c>
      <c r="L120" s="35"/>
      <c r="M120" s="35"/>
      <c r="N120" s="35"/>
      <c r="O120" s="35"/>
      <c r="P120" s="35"/>
    </row>
    <row r="121" spans="1:16" ht="16.5" customHeight="1">
      <c r="A121" s="31" t="s">
        <v>454</v>
      </c>
      <c r="B121" s="31" t="s">
        <v>484</v>
      </c>
      <c r="C121" s="31" t="s">
        <v>488</v>
      </c>
      <c r="D121" s="31" t="s">
        <v>489</v>
      </c>
      <c r="E121" s="31" t="s">
        <v>8</v>
      </c>
      <c r="F121" s="2" t="s">
        <v>6</v>
      </c>
      <c r="G121" s="31"/>
      <c r="H121" s="21"/>
      <c r="I121" s="21"/>
      <c r="J121" s="32"/>
      <c r="K121" s="32" t="s">
        <v>490</v>
      </c>
      <c r="L121" s="35"/>
      <c r="M121" s="35"/>
      <c r="N121" s="35"/>
      <c r="O121" s="35"/>
      <c r="P121" s="35"/>
    </row>
    <row r="122" spans="1:16" ht="16.5" customHeight="1">
      <c r="A122" s="31" t="s">
        <v>454</v>
      </c>
      <c r="B122" s="31" t="s">
        <v>484</v>
      </c>
      <c r="C122" s="31" t="s">
        <v>491</v>
      </c>
      <c r="D122" s="31" t="s">
        <v>492</v>
      </c>
      <c r="E122" s="31" t="s">
        <v>8</v>
      </c>
      <c r="F122" s="2" t="s">
        <v>6</v>
      </c>
      <c r="G122" s="31"/>
      <c r="H122" s="21"/>
      <c r="I122" s="21"/>
      <c r="J122" s="32"/>
      <c r="K122" s="32" t="s">
        <v>493</v>
      </c>
      <c r="L122" s="35"/>
      <c r="M122" s="35"/>
      <c r="N122" s="35"/>
      <c r="O122" s="35"/>
      <c r="P122" s="35"/>
    </row>
    <row r="123" spans="1:16" ht="16.5" customHeight="1">
      <c r="A123" s="31" t="s">
        <v>454</v>
      </c>
      <c r="B123" s="31" t="s">
        <v>494</v>
      </c>
      <c r="C123" s="31" t="s">
        <v>495</v>
      </c>
      <c r="D123" s="31" t="s">
        <v>496</v>
      </c>
      <c r="E123" s="31" t="s">
        <v>8</v>
      </c>
      <c r="F123" s="2" t="s">
        <v>6</v>
      </c>
      <c r="G123" s="31"/>
      <c r="H123" s="21"/>
      <c r="I123" s="21"/>
      <c r="J123" s="32"/>
      <c r="K123" s="32" t="s">
        <v>497</v>
      </c>
      <c r="L123" s="35"/>
      <c r="M123" s="35"/>
      <c r="N123" s="35"/>
      <c r="O123" s="35"/>
      <c r="P123" s="35"/>
    </row>
    <row r="124" spans="1:16" ht="16.5" customHeight="1">
      <c r="A124" s="31" t="s">
        <v>454</v>
      </c>
      <c r="B124" s="31" t="s">
        <v>494</v>
      </c>
      <c r="C124" s="31" t="s">
        <v>498</v>
      </c>
      <c r="D124" s="31" t="s">
        <v>499</v>
      </c>
      <c r="E124" s="31" t="s">
        <v>8</v>
      </c>
      <c r="F124" s="2" t="s">
        <v>6</v>
      </c>
      <c r="G124" s="31"/>
      <c r="H124" s="21" t="s">
        <v>13</v>
      </c>
      <c r="I124" s="21"/>
      <c r="J124" s="32"/>
      <c r="K124" s="32" t="s">
        <v>500</v>
      </c>
      <c r="L124" s="35"/>
      <c r="M124" s="35"/>
      <c r="N124" s="35"/>
      <c r="O124" s="35"/>
      <c r="P124" s="35"/>
    </row>
    <row r="125" spans="1:16" ht="16.5" customHeight="1">
      <c r="A125" s="31" t="s">
        <v>454</v>
      </c>
      <c r="B125" s="31" t="s">
        <v>494</v>
      </c>
      <c r="C125" s="31" t="s">
        <v>501</v>
      </c>
      <c r="D125" s="31" t="s">
        <v>502</v>
      </c>
      <c r="E125" s="31" t="s">
        <v>8</v>
      </c>
      <c r="F125" s="2" t="s">
        <v>6</v>
      </c>
      <c r="G125" s="31"/>
      <c r="H125" s="21"/>
      <c r="I125" s="21"/>
      <c r="J125" s="32"/>
      <c r="K125" s="32" t="s">
        <v>503</v>
      </c>
      <c r="L125" s="35"/>
      <c r="M125" s="35"/>
      <c r="N125" s="35"/>
      <c r="O125" s="35"/>
      <c r="P125" s="35"/>
    </row>
    <row r="126" spans="1:16" ht="16.5" customHeight="1">
      <c r="A126" s="31" t="s">
        <v>454</v>
      </c>
      <c r="B126" s="31" t="s">
        <v>494</v>
      </c>
      <c r="C126" s="31" t="s">
        <v>504</v>
      </c>
      <c r="D126" s="31" t="s">
        <v>505</v>
      </c>
      <c r="E126" s="31" t="s">
        <v>8</v>
      </c>
      <c r="F126" s="2" t="s">
        <v>6</v>
      </c>
      <c r="G126" s="31"/>
      <c r="H126" s="21"/>
      <c r="I126" s="21"/>
      <c r="J126" s="32"/>
      <c r="K126" s="32" t="s">
        <v>506</v>
      </c>
      <c r="L126" s="35"/>
      <c r="M126" s="35"/>
      <c r="N126" s="35"/>
      <c r="O126" s="35"/>
      <c r="P126" s="35"/>
    </row>
    <row r="127" spans="1:16" ht="16.5" customHeight="1">
      <c r="A127" s="31" t="s">
        <v>454</v>
      </c>
      <c r="B127" s="31" t="s">
        <v>494</v>
      </c>
      <c r="C127" s="31" t="s">
        <v>507</v>
      </c>
      <c r="D127" s="31" t="s">
        <v>508</v>
      </c>
      <c r="E127" s="31" t="s">
        <v>8</v>
      </c>
      <c r="F127" s="2" t="s">
        <v>6</v>
      </c>
      <c r="G127" s="31"/>
      <c r="H127" s="21" t="s">
        <v>13</v>
      </c>
      <c r="I127" s="21"/>
      <c r="J127" s="32"/>
      <c r="K127" s="32" t="s">
        <v>509</v>
      </c>
      <c r="L127" s="35"/>
      <c r="M127" s="35"/>
      <c r="N127" s="35"/>
      <c r="O127" s="35"/>
      <c r="P127" s="35"/>
    </row>
    <row r="128" spans="1:16" ht="16.5" customHeight="1">
      <c r="A128" s="31" t="s">
        <v>454</v>
      </c>
      <c r="B128" s="31" t="s">
        <v>510</v>
      </c>
      <c r="C128" s="31" t="s">
        <v>511</v>
      </c>
      <c r="D128" s="31" t="s">
        <v>512</v>
      </c>
      <c r="E128" s="31" t="s">
        <v>5</v>
      </c>
      <c r="F128" s="2" t="s">
        <v>6</v>
      </c>
      <c r="G128" s="31"/>
      <c r="H128" s="21"/>
      <c r="I128" s="21"/>
      <c r="J128" s="32"/>
      <c r="K128" s="32" t="s">
        <v>513</v>
      </c>
      <c r="L128" s="35"/>
      <c r="M128" s="35"/>
      <c r="N128" s="35"/>
      <c r="O128" s="35"/>
      <c r="P128" s="35"/>
    </row>
    <row r="129" spans="1:16" ht="16.5" customHeight="1">
      <c r="A129" s="31" t="s">
        <v>454</v>
      </c>
      <c r="B129" s="31" t="s">
        <v>510</v>
      </c>
      <c r="C129" s="31" t="s">
        <v>514</v>
      </c>
      <c r="D129" s="31" t="s">
        <v>515</v>
      </c>
      <c r="E129" s="31" t="s">
        <v>5</v>
      </c>
      <c r="F129" s="2" t="s">
        <v>6</v>
      </c>
      <c r="G129" s="31"/>
      <c r="H129" s="21"/>
      <c r="I129" s="21"/>
      <c r="J129" s="32"/>
      <c r="K129" s="32" t="s">
        <v>516</v>
      </c>
      <c r="L129" s="35"/>
      <c r="M129" s="35"/>
      <c r="N129" s="35"/>
      <c r="O129" s="35"/>
      <c r="P129" s="35"/>
    </row>
    <row r="130" spans="1:16" ht="16.5" customHeight="1">
      <c r="A130" s="31" t="s">
        <v>454</v>
      </c>
      <c r="B130" s="31" t="s">
        <v>510</v>
      </c>
      <c r="C130" s="31" t="s">
        <v>517</v>
      </c>
      <c r="D130" s="31" t="s">
        <v>518</v>
      </c>
      <c r="E130" s="31" t="s">
        <v>8</v>
      </c>
      <c r="F130" s="2" t="s">
        <v>6</v>
      </c>
      <c r="G130" s="31"/>
      <c r="H130" s="21"/>
      <c r="I130" s="21"/>
      <c r="J130" s="32"/>
      <c r="K130" s="32" t="s">
        <v>519</v>
      </c>
      <c r="L130" s="35"/>
      <c r="M130" s="35"/>
      <c r="N130" s="35"/>
      <c r="O130" s="35"/>
      <c r="P130" s="35"/>
    </row>
    <row r="131" spans="1:16" ht="16.5" customHeight="1">
      <c r="A131" s="31" t="s">
        <v>454</v>
      </c>
      <c r="B131" s="31" t="s">
        <v>520</v>
      </c>
      <c r="C131" s="31" t="s">
        <v>521</v>
      </c>
      <c r="D131" s="31" t="s">
        <v>522</v>
      </c>
      <c r="E131" s="31" t="s">
        <v>5</v>
      </c>
      <c r="F131" s="2" t="s">
        <v>6</v>
      </c>
      <c r="G131" s="31"/>
      <c r="H131" s="21"/>
      <c r="I131" s="21"/>
      <c r="J131" s="32"/>
      <c r="K131" s="32" t="s">
        <v>523</v>
      </c>
      <c r="L131" s="35"/>
      <c r="M131" s="35"/>
      <c r="N131" s="35"/>
      <c r="O131" s="35"/>
      <c r="P131" s="35"/>
    </row>
    <row r="132" spans="1:16" ht="16.5" customHeight="1">
      <c r="A132" s="31" t="s">
        <v>454</v>
      </c>
      <c r="B132" s="31" t="s">
        <v>520</v>
      </c>
      <c r="C132" s="31" t="s">
        <v>524</v>
      </c>
      <c r="D132" s="31" t="s">
        <v>525</v>
      </c>
      <c r="E132" s="31" t="s">
        <v>5</v>
      </c>
      <c r="F132" s="2" t="s">
        <v>6</v>
      </c>
      <c r="G132" s="31"/>
      <c r="H132" s="21"/>
      <c r="I132" s="21"/>
      <c r="J132" s="32"/>
      <c r="K132" s="32" t="s">
        <v>526</v>
      </c>
      <c r="L132" s="35"/>
      <c r="M132" s="35"/>
      <c r="N132" s="35"/>
      <c r="O132" s="35"/>
      <c r="P132" s="35"/>
    </row>
    <row r="133" spans="1:16" ht="16.5" customHeight="1">
      <c r="A133" s="31" t="s">
        <v>454</v>
      </c>
      <c r="B133" s="31" t="s">
        <v>520</v>
      </c>
      <c r="C133" s="31" t="s">
        <v>527</v>
      </c>
      <c r="D133" s="31" t="s">
        <v>528</v>
      </c>
      <c r="E133" s="31" t="s">
        <v>8</v>
      </c>
      <c r="F133" s="2" t="s">
        <v>6</v>
      </c>
      <c r="G133" s="31"/>
      <c r="H133" s="21"/>
      <c r="I133" s="21"/>
      <c r="J133" s="32"/>
      <c r="K133" s="32" t="s">
        <v>529</v>
      </c>
      <c r="L133" s="35"/>
      <c r="M133" s="35"/>
      <c r="N133" s="35"/>
      <c r="O133" s="35"/>
      <c r="P133" s="35"/>
    </row>
    <row r="134" spans="1:16" ht="16.5" customHeight="1">
      <c r="A134" s="31" t="s">
        <v>454</v>
      </c>
      <c r="B134" s="31" t="s">
        <v>520</v>
      </c>
      <c r="C134" s="31" t="s">
        <v>530</v>
      </c>
      <c r="D134" s="31" t="s">
        <v>531</v>
      </c>
      <c r="E134" s="31" t="s">
        <v>8</v>
      </c>
      <c r="F134" s="2" t="s">
        <v>6</v>
      </c>
      <c r="G134" s="31"/>
      <c r="H134" s="21"/>
      <c r="I134" s="21"/>
      <c r="J134" s="32"/>
      <c r="K134" s="32" t="s">
        <v>532</v>
      </c>
      <c r="L134" s="35"/>
      <c r="M134" s="35"/>
      <c r="N134" s="35"/>
      <c r="O134" s="35"/>
      <c r="P134" s="35"/>
    </row>
    <row r="135" spans="1:16" ht="16.5" customHeight="1">
      <c r="A135" s="31" t="s">
        <v>454</v>
      </c>
      <c r="B135" s="31" t="s">
        <v>520</v>
      </c>
      <c r="C135" s="31" t="s">
        <v>533</v>
      </c>
      <c r="D135" s="31" t="s">
        <v>534</v>
      </c>
      <c r="E135" s="31" t="s">
        <v>8</v>
      </c>
      <c r="F135" s="2" t="s">
        <v>6</v>
      </c>
      <c r="G135" s="31"/>
      <c r="H135" s="21"/>
      <c r="I135" s="21"/>
      <c r="J135" s="32"/>
      <c r="K135" s="32" t="s">
        <v>535</v>
      </c>
      <c r="L135" s="35"/>
      <c r="M135" s="35"/>
      <c r="N135" s="35"/>
      <c r="O135" s="35"/>
      <c r="P135" s="35"/>
    </row>
    <row r="136" spans="1:16" ht="16.5" customHeight="1">
      <c r="A136" s="31" t="s">
        <v>454</v>
      </c>
      <c r="B136" s="31" t="s">
        <v>536</v>
      </c>
      <c r="C136" s="31" t="s">
        <v>537</v>
      </c>
      <c r="D136" s="31" t="s">
        <v>538</v>
      </c>
      <c r="E136" s="31" t="s">
        <v>8</v>
      </c>
      <c r="F136" s="2" t="s">
        <v>6</v>
      </c>
      <c r="G136" s="31"/>
      <c r="H136" s="21"/>
      <c r="I136" s="21"/>
      <c r="J136" s="32"/>
      <c r="K136" s="32" t="s">
        <v>539</v>
      </c>
      <c r="L136" s="35"/>
      <c r="M136" s="35"/>
      <c r="N136" s="35"/>
      <c r="O136" s="35"/>
      <c r="P136" s="35"/>
    </row>
    <row r="137" spans="1:16" ht="16.5" customHeight="1">
      <c r="A137" s="31" t="s">
        <v>454</v>
      </c>
      <c r="B137" s="31" t="s">
        <v>536</v>
      </c>
      <c r="C137" s="31" t="s">
        <v>540</v>
      </c>
      <c r="D137" s="31" t="s">
        <v>541</v>
      </c>
      <c r="E137" s="31" t="s">
        <v>8</v>
      </c>
      <c r="F137" s="2" t="s">
        <v>6</v>
      </c>
      <c r="G137" s="31"/>
      <c r="H137" s="21"/>
      <c r="I137" s="21"/>
      <c r="J137" s="32"/>
      <c r="K137" s="32" t="s">
        <v>542</v>
      </c>
      <c r="L137" s="35"/>
      <c r="M137" s="35"/>
      <c r="N137" s="35"/>
      <c r="O137" s="35"/>
      <c r="P137" s="35"/>
    </row>
    <row r="138" spans="1:16" ht="16.5" customHeight="1">
      <c r="A138" s="31" t="s">
        <v>454</v>
      </c>
      <c r="B138" s="31" t="s">
        <v>536</v>
      </c>
      <c r="C138" s="31" t="s">
        <v>543</v>
      </c>
      <c r="D138" s="31" t="s">
        <v>544</v>
      </c>
      <c r="E138" s="31" t="s">
        <v>8</v>
      </c>
      <c r="F138" s="2" t="s">
        <v>6</v>
      </c>
      <c r="G138" s="31"/>
      <c r="H138" s="21"/>
      <c r="I138" s="21"/>
      <c r="J138" s="32"/>
      <c r="K138" s="32" t="s">
        <v>545</v>
      </c>
      <c r="L138" s="35"/>
      <c r="M138" s="35"/>
      <c r="N138" s="35"/>
      <c r="O138" s="35"/>
      <c r="P138" s="35"/>
    </row>
    <row r="139" spans="1:16" ht="16.5" customHeight="1">
      <c r="A139" s="31" t="s">
        <v>546</v>
      </c>
      <c r="B139" s="31" t="s">
        <v>547</v>
      </c>
      <c r="C139" s="31" t="s">
        <v>548</v>
      </c>
      <c r="D139" s="31" t="s">
        <v>522</v>
      </c>
      <c r="E139" s="31" t="s">
        <v>5</v>
      </c>
      <c r="F139" s="2" t="s">
        <v>6</v>
      </c>
      <c r="G139" s="31"/>
      <c r="H139" s="21"/>
      <c r="I139" s="21"/>
      <c r="J139" s="32"/>
      <c r="K139" s="32" t="s">
        <v>549</v>
      </c>
      <c r="L139" s="35"/>
      <c r="M139" s="35"/>
      <c r="N139" s="35"/>
      <c r="O139" s="35"/>
      <c r="P139" s="35"/>
    </row>
    <row r="140" spans="1:16" ht="16.5" customHeight="1">
      <c r="A140" s="31" t="s">
        <v>546</v>
      </c>
      <c r="B140" s="31" t="s">
        <v>547</v>
      </c>
      <c r="C140" s="31" t="s">
        <v>550</v>
      </c>
      <c r="D140" s="31" t="s">
        <v>551</v>
      </c>
      <c r="E140" s="31" t="s">
        <v>8</v>
      </c>
      <c r="F140" s="2" t="s">
        <v>6</v>
      </c>
      <c r="G140" s="31"/>
      <c r="H140" s="21"/>
      <c r="I140" s="21"/>
      <c r="J140" s="32"/>
      <c r="K140" s="32" t="s">
        <v>552</v>
      </c>
      <c r="L140" s="35"/>
      <c r="M140" s="35"/>
      <c r="N140" s="35"/>
      <c r="O140" s="35"/>
      <c r="P140" s="35"/>
    </row>
    <row r="141" spans="1:16" ht="16.5" customHeight="1">
      <c r="A141" s="31" t="s">
        <v>546</v>
      </c>
      <c r="B141" s="31" t="s">
        <v>547</v>
      </c>
      <c r="C141" s="31" t="s">
        <v>553</v>
      </c>
      <c r="D141" s="31" t="s">
        <v>554</v>
      </c>
      <c r="E141" s="31" t="s">
        <v>8</v>
      </c>
      <c r="F141" s="2" t="s">
        <v>6</v>
      </c>
      <c r="G141" s="31"/>
      <c r="H141" s="21"/>
      <c r="J141" s="32"/>
      <c r="K141" s="32" t="s">
        <v>555</v>
      </c>
      <c r="L141" s="35"/>
      <c r="M141" s="35"/>
      <c r="N141" s="35"/>
      <c r="O141" s="35"/>
      <c r="P141" s="35"/>
    </row>
    <row r="142" spans="1:16" ht="16.5" customHeight="1">
      <c r="A142" s="31" t="s">
        <v>546</v>
      </c>
      <c r="B142" s="31" t="s">
        <v>547</v>
      </c>
      <c r="C142" s="31" t="s">
        <v>556</v>
      </c>
      <c r="D142" s="31" t="s">
        <v>557</v>
      </c>
      <c r="E142" s="31" t="s">
        <v>5</v>
      </c>
      <c r="F142" s="2" t="s">
        <v>6</v>
      </c>
      <c r="G142" s="31"/>
      <c r="H142" s="21"/>
      <c r="J142" s="32"/>
      <c r="K142" s="32" t="s">
        <v>558</v>
      </c>
      <c r="L142" s="35"/>
      <c r="M142" s="35"/>
      <c r="N142" s="35"/>
      <c r="O142" s="35"/>
      <c r="P142" s="35"/>
    </row>
    <row r="143" spans="1:16" ht="16.5" customHeight="1">
      <c r="A143" s="31" t="s">
        <v>546</v>
      </c>
      <c r="B143" s="31" t="s">
        <v>547</v>
      </c>
      <c r="C143" s="31" t="s">
        <v>559</v>
      </c>
      <c r="D143" s="31" t="s">
        <v>560</v>
      </c>
      <c r="E143" s="31" t="s">
        <v>5</v>
      </c>
      <c r="F143" s="2" t="s">
        <v>6</v>
      </c>
      <c r="G143" s="31"/>
      <c r="H143" s="21"/>
      <c r="I143" s="21"/>
      <c r="J143" s="32"/>
      <c r="K143" s="32" t="s">
        <v>561</v>
      </c>
      <c r="L143" s="35"/>
      <c r="M143" s="35"/>
      <c r="N143" s="35"/>
      <c r="O143" s="35"/>
      <c r="P143" s="35"/>
    </row>
    <row r="144" spans="1:16" ht="16.5" customHeight="1">
      <c r="A144" s="31" t="s">
        <v>546</v>
      </c>
      <c r="B144" s="31" t="s">
        <v>547</v>
      </c>
      <c r="C144" s="31" t="s">
        <v>562</v>
      </c>
      <c r="D144" s="31" t="s">
        <v>563</v>
      </c>
      <c r="E144" s="31" t="s">
        <v>8</v>
      </c>
      <c r="F144" s="2" t="s">
        <v>6</v>
      </c>
      <c r="G144" s="31"/>
      <c r="H144" s="21"/>
      <c r="I144" s="21"/>
      <c r="J144" s="32"/>
      <c r="K144" s="32" t="s">
        <v>564</v>
      </c>
      <c r="L144" s="35"/>
      <c r="M144" s="35"/>
      <c r="N144" s="35"/>
      <c r="O144" s="35"/>
      <c r="P144" s="35"/>
    </row>
    <row r="145" spans="1:16" ht="16.5" customHeight="1">
      <c r="A145" s="31" t="s">
        <v>546</v>
      </c>
      <c r="B145" s="31" t="s">
        <v>547</v>
      </c>
      <c r="C145" s="31" t="s">
        <v>565</v>
      </c>
      <c r="D145" s="31" t="s">
        <v>566</v>
      </c>
      <c r="E145" s="31" t="s">
        <v>5</v>
      </c>
      <c r="F145" s="2" t="s">
        <v>6</v>
      </c>
      <c r="G145" s="31"/>
      <c r="H145" s="21"/>
      <c r="I145" s="21"/>
      <c r="J145" s="32"/>
      <c r="K145" s="32" t="s">
        <v>567</v>
      </c>
      <c r="L145" s="35"/>
      <c r="M145" s="35"/>
      <c r="N145" s="35"/>
      <c r="O145" s="35"/>
      <c r="P145" s="35"/>
    </row>
    <row r="146" spans="1:16" ht="16.5" customHeight="1">
      <c r="A146" s="31" t="s">
        <v>546</v>
      </c>
      <c r="B146" s="31" t="s">
        <v>568</v>
      </c>
      <c r="C146" s="31" t="s">
        <v>569</v>
      </c>
      <c r="D146" s="31" t="s">
        <v>570</v>
      </c>
      <c r="E146" s="31" t="s">
        <v>8</v>
      </c>
      <c r="F146" s="2" t="s">
        <v>6</v>
      </c>
      <c r="G146" s="31"/>
      <c r="H146" s="21"/>
      <c r="J146" s="32"/>
      <c r="K146" s="32" t="s">
        <v>571</v>
      </c>
      <c r="L146" s="35"/>
      <c r="M146" s="35"/>
      <c r="N146" s="35"/>
      <c r="O146" s="35"/>
      <c r="P146" s="35"/>
    </row>
    <row r="147" spans="1:16" ht="16.5" customHeight="1">
      <c r="A147" s="31" t="s">
        <v>546</v>
      </c>
      <c r="B147" s="31" t="s">
        <v>568</v>
      </c>
      <c r="C147" s="31" t="s">
        <v>572</v>
      </c>
      <c r="D147" s="31" t="s">
        <v>573</v>
      </c>
      <c r="E147" s="31" t="s">
        <v>8</v>
      </c>
      <c r="F147" s="2" t="s">
        <v>6</v>
      </c>
      <c r="G147" s="31"/>
      <c r="H147" s="21"/>
      <c r="I147" s="21"/>
      <c r="J147" s="32"/>
      <c r="K147" s="32" t="s">
        <v>574</v>
      </c>
      <c r="L147" s="35"/>
      <c r="M147" s="35"/>
      <c r="N147" s="35"/>
      <c r="O147" s="35"/>
      <c r="P147" s="35"/>
    </row>
    <row r="148" spans="1:16" ht="16.5" customHeight="1">
      <c r="A148" s="31" t="s">
        <v>546</v>
      </c>
      <c r="B148" s="31" t="s">
        <v>568</v>
      </c>
      <c r="C148" s="31" t="s">
        <v>575</v>
      </c>
      <c r="D148" s="31" t="s">
        <v>573</v>
      </c>
      <c r="E148" s="31" t="s">
        <v>8</v>
      </c>
      <c r="F148" s="2" t="s">
        <v>6</v>
      </c>
      <c r="G148" s="31"/>
      <c r="H148" s="21"/>
      <c r="J148" s="32"/>
      <c r="K148" s="32" t="s">
        <v>576</v>
      </c>
      <c r="L148" s="35"/>
      <c r="M148" s="35"/>
      <c r="N148" s="35"/>
      <c r="O148" s="35"/>
      <c r="P148" s="35"/>
    </row>
    <row r="149" spans="1:16" ht="16.5" customHeight="1">
      <c r="A149" s="31" t="s">
        <v>546</v>
      </c>
      <c r="B149" s="31" t="s">
        <v>568</v>
      </c>
      <c r="C149" s="31" t="s">
        <v>577</v>
      </c>
      <c r="D149" s="31" t="s">
        <v>578</v>
      </c>
      <c r="E149" s="31" t="s">
        <v>7</v>
      </c>
      <c r="F149" s="2" t="s">
        <v>6</v>
      </c>
      <c r="G149" s="31"/>
      <c r="H149" s="21"/>
      <c r="J149" s="32"/>
      <c r="K149" s="32" t="s">
        <v>579</v>
      </c>
      <c r="L149" s="35"/>
      <c r="M149" s="35"/>
      <c r="N149" s="35"/>
      <c r="O149" s="35"/>
      <c r="P149" s="35"/>
    </row>
    <row r="150" spans="1:16" ht="16.5" customHeight="1">
      <c r="A150" s="31" t="s">
        <v>546</v>
      </c>
      <c r="B150" s="31" t="s">
        <v>580</v>
      </c>
      <c r="C150" s="31" t="s">
        <v>581</v>
      </c>
      <c r="D150" s="31" t="s">
        <v>582</v>
      </c>
      <c r="E150" s="31" t="s">
        <v>8</v>
      </c>
      <c r="F150" s="2" t="s">
        <v>6</v>
      </c>
      <c r="G150" s="31"/>
      <c r="H150" s="21"/>
      <c r="J150" s="32"/>
      <c r="K150" s="32" t="s">
        <v>583</v>
      </c>
      <c r="L150" s="35"/>
      <c r="M150" s="35"/>
      <c r="N150" s="35"/>
      <c r="O150" s="35"/>
      <c r="P150" s="35"/>
    </row>
    <row r="151" spans="1:16" ht="16.5" customHeight="1">
      <c r="A151" s="31" t="s">
        <v>546</v>
      </c>
      <c r="B151" s="31" t="s">
        <v>580</v>
      </c>
      <c r="C151" s="31" t="s">
        <v>584</v>
      </c>
      <c r="D151" s="31" t="s">
        <v>585</v>
      </c>
      <c r="E151" s="31" t="s">
        <v>8</v>
      </c>
      <c r="F151" s="2" t="s">
        <v>6</v>
      </c>
      <c r="G151" s="31"/>
      <c r="H151" s="21"/>
      <c r="J151" s="32"/>
      <c r="K151" s="32" t="s">
        <v>586</v>
      </c>
      <c r="L151" s="35"/>
      <c r="M151" s="35"/>
      <c r="N151" s="35"/>
      <c r="O151" s="35"/>
      <c r="P151" s="35"/>
    </row>
    <row r="152" spans="1:16" ht="16.5" customHeight="1">
      <c r="A152" s="31" t="s">
        <v>546</v>
      </c>
      <c r="B152" s="31" t="s">
        <v>580</v>
      </c>
      <c r="C152" s="31" t="s">
        <v>587</v>
      </c>
      <c r="D152" s="31" t="s">
        <v>588</v>
      </c>
      <c r="E152" s="31" t="s">
        <v>8</v>
      </c>
      <c r="F152" s="2" t="s">
        <v>6</v>
      </c>
      <c r="G152" s="31"/>
      <c r="H152" s="21"/>
      <c r="J152" s="32"/>
      <c r="K152" s="32" t="s">
        <v>589</v>
      </c>
      <c r="L152" s="35"/>
      <c r="M152" s="35"/>
      <c r="N152" s="35"/>
      <c r="O152" s="35"/>
      <c r="P152" s="35"/>
    </row>
    <row r="153" spans="1:16" ht="16.5" customHeight="1">
      <c r="A153" s="31" t="s">
        <v>546</v>
      </c>
      <c r="B153" s="31" t="s">
        <v>590</v>
      </c>
      <c r="C153" s="31" t="s">
        <v>591</v>
      </c>
      <c r="D153" s="31" t="s">
        <v>592</v>
      </c>
      <c r="E153" s="31" t="s">
        <v>8</v>
      </c>
      <c r="F153" s="2" t="s">
        <v>6</v>
      </c>
      <c r="G153" s="31"/>
      <c r="H153" s="21"/>
      <c r="J153" s="32"/>
      <c r="K153" s="32" t="s">
        <v>593</v>
      </c>
      <c r="L153" s="35"/>
      <c r="M153" s="35"/>
      <c r="N153" s="35"/>
      <c r="O153" s="35"/>
      <c r="P153" s="35"/>
    </row>
    <row r="154" spans="1:16" ht="16.5" customHeight="1">
      <c r="A154" s="31" t="s">
        <v>546</v>
      </c>
      <c r="B154" s="31" t="s">
        <v>590</v>
      </c>
      <c r="C154" s="31" t="s">
        <v>594</v>
      </c>
      <c r="D154" s="31" t="s">
        <v>595</v>
      </c>
      <c r="E154" s="31" t="s">
        <v>5</v>
      </c>
      <c r="F154" s="2" t="s">
        <v>6</v>
      </c>
      <c r="G154" s="31"/>
      <c r="H154" s="21"/>
      <c r="J154" s="32"/>
      <c r="K154" s="32" t="s">
        <v>596</v>
      </c>
      <c r="L154" s="35"/>
      <c r="M154" s="35"/>
      <c r="N154" s="35"/>
      <c r="O154" s="35"/>
      <c r="P154" s="35"/>
    </row>
    <row r="155" spans="1:16" ht="16.5" customHeight="1">
      <c r="A155" s="31" t="s">
        <v>546</v>
      </c>
      <c r="B155" s="31" t="s">
        <v>590</v>
      </c>
      <c r="C155" s="31" t="s">
        <v>597</v>
      </c>
      <c r="D155" s="31" t="s">
        <v>598</v>
      </c>
      <c r="E155" s="31" t="s">
        <v>8</v>
      </c>
      <c r="F155" s="2" t="s">
        <v>6</v>
      </c>
      <c r="G155" s="31"/>
      <c r="H155" s="21"/>
      <c r="J155" s="32"/>
      <c r="K155" s="32" t="s">
        <v>599</v>
      </c>
      <c r="L155" s="35"/>
      <c r="M155" s="35"/>
      <c r="N155" s="35"/>
      <c r="O155" s="35"/>
      <c r="P155" s="35"/>
    </row>
    <row r="156" spans="1:16" ht="16.5" customHeight="1">
      <c r="A156" s="31" t="s">
        <v>546</v>
      </c>
      <c r="B156" s="31" t="s">
        <v>142</v>
      </c>
      <c r="C156" s="31" t="s">
        <v>600</v>
      </c>
      <c r="D156" s="31" t="s">
        <v>601</v>
      </c>
      <c r="E156" s="31" t="s">
        <v>8</v>
      </c>
      <c r="F156" s="2" t="s">
        <v>6</v>
      </c>
      <c r="G156" s="31"/>
      <c r="H156" s="21"/>
      <c r="J156" s="32"/>
      <c r="K156" s="32" t="s">
        <v>602</v>
      </c>
      <c r="L156" s="35"/>
      <c r="M156" s="35"/>
      <c r="N156" s="35"/>
      <c r="O156" s="35"/>
      <c r="P156" s="35"/>
    </row>
    <row r="157" spans="1:16" ht="16.5" customHeight="1">
      <c r="A157" s="31" t="s">
        <v>546</v>
      </c>
      <c r="B157" s="31" t="s">
        <v>142</v>
      </c>
      <c r="C157" s="31" t="s">
        <v>603</v>
      </c>
      <c r="D157" s="31" t="s">
        <v>604</v>
      </c>
      <c r="E157" s="31" t="s">
        <v>8</v>
      </c>
      <c r="F157" s="2" t="s">
        <v>6</v>
      </c>
      <c r="G157" s="31"/>
      <c r="H157" s="21"/>
      <c r="J157" s="32"/>
      <c r="K157" s="32" t="s">
        <v>605</v>
      </c>
      <c r="L157" s="35"/>
      <c r="M157" s="35"/>
      <c r="N157" s="35"/>
      <c r="O157" s="35"/>
      <c r="P157" s="35"/>
    </row>
    <row r="158" spans="1:16" ht="16.5" customHeight="1">
      <c r="A158" s="31" t="s">
        <v>546</v>
      </c>
      <c r="B158" s="31" t="s">
        <v>142</v>
      </c>
      <c r="C158" s="31" t="s">
        <v>606</v>
      </c>
      <c r="D158" s="31" t="s">
        <v>607</v>
      </c>
      <c r="E158" s="31" t="s">
        <v>8</v>
      </c>
      <c r="F158" s="2" t="s">
        <v>6</v>
      </c>
      <c r="G158" s="31"/>
      <c r="H158" s="21"/>
      <c r="J158" s="32"/>
      <c r="K158" s="32" t="s">
        <v>608</v>
      </c>
      <c r="L158" s="35"/>
      <c r="M158" s="35"/>
      <c r="N158" s="35"/>
      <c r="O158" s="35"/>
      <c r="P158" s="35"/>
    </row>
    <row r="159" spans="1:16" ht="16.5" customHeight="1">
      <c r="A159" s="31" t="s">
        <v>546</v>
      </c>
      <c r="B159" s="31" t="s">
        <v>129</v>
      </c>
      <c r="C159" s="31" t="s">
        <v>609</v>
      </c>
      <c r="D159" s="31" t="s">
        <v>610</v>
      </c>
      <c r="E159" s="31" t="s">
        <v>8</v>
      </c>
      <c r="F159" s="2" t="s">
        <v>6</v>
      </c>
      <c r="G159" s="31"/>
      <c r="H159" s="21"/>
      <c r="J159" s="32"/>
      <c r="K159" s="32" t="s">
        <v>611</v>
      </c>
      <c r="L159" s="35"/>
      <c r="M159" s="35"/>
      <c r="N159" s="35"/>
      <c r="O159" s="35"/>
      <c r="P159" s="35"/>
    </row>
    <row r="160" spans="1:16" ht="16.5" customHeight="1">
      <c r="A160" s="31" t="s">
        <v>546</v>
      </c>
      <c r="B160" s="31" t="s">
        <v>129</v>
      </c>
      <c r="C160" s="31" t="s">
        <v>612</v>
      </c>
      <c r="D160" s="31" t="s">
        <v>613</v>
      </c>
      <c r="E160" s="31" t="s">
        <v>8</v>
      </c>
      <c r="F160" s="2" t="s">
        <v>6</v>
      </c>
      <c r="G160" s="31"/>
      <c r="H160" s="21"/>
      <c r="J160" s="32"/>
      <c r="K160" s="32" t="s">
        <v>614</v>
      </c>
      <c r="L160" s="35"/>
      <c r="M160" s="35"/>
      <c r="N160" s="35"/>
      <c r="O160" s="35"/>
      <c r="P160" s="35"/>
    </row>
    <row r="161" spans="1:16" ht="16.5" customHeight="1">
      <c r="A161" s="31" t="s">
        <v>546</v>
      </c>
      <c r="B161" s="31" t="s">
        <v>129</v>
      </c>
      <c r="C161" s="31" t="s">
        <v>615</v>
      </c>
      <c r="D161" s="31" t="s">
        <v>616</v>
      </c>
      <c r="E161" s="31" t="s">
        <v>8</v>
      </c>
      <c r="F161" s="2" t="s">
        <v>6</v>
      </c>
      <c r="G161" s="31"/>
      <c r="H161" s="21"/>
      <c r="J161" s="32"/>
      <c r="K161" s="32" t="s">
        <v>617</v>
      </c>
      <c r="L161" s="35"/>
      <c r="M161" s="35"/>
      <c r="N161" s="35"/>
      <c r="O161" s="35"/>
      <c r="P161" s="35"/>
    </row>
    <row r="162" spans="1:16" ht="16.5" customHeight="1">
      <c r="A162" s="31" t="s">
        <v>546</v>
      </c>
      <c r="B162" s="31" t="s">
        <v>129</v>
      </c>
      <c r="C162" s="31" t="s">
        <v>618</v>
      </c>
      <c r="D162" s="31" t="s">
        <v>619</v>
      </c>
      <c r="E162" s="31" t="s">
        <v>8</v>
      </c>
      <c r="F162" s="2" t="s">
        <v>6</v>
      </c>
      <c r="G162" s="31"/>
      <c r="H162" s="21"/>
      <c r="J162" s="32"/>
      <c r="K162" s="32" t="s">
        <v>620</v>
      </c>
      <c r="L162" s="35"/>
      <c r="M162" s="35"/>
      <c r="N162" s="35"/>
      <c r="O162" s="35"/>
      <c r="P162" s="35"/>
    </row>
    <row r="163" spans="1:16" ht="16.5" customHeight="1">
      <c r="A163" s="31" t="s">
        <v>546</v>
      </c>
      <c r="B163" s="31" t="s">
        <v>129</v>
      </c>
      <c r="C163" s="31" t="s">
        <v>621</v>
      </c>
      <c r="D163" s="31" t="s">
        <v>622</v>
      </c>
      <c r="E163" s="31" t="s">
        <v>8</v>
      </c>
      <c r="F163" s="2" t="s">
        <v>6</v>
      </c>
      <c r="G163" s="31"/>
      <c r="H163" s="21"/>
      <c r="J163" s="32"/>
      <c r="K163" s="33" t="s">
        <v>623</v>
      </c>
      <c r="L163" s="35"/>
      <c r="M163" s="35"/>
      <c r="N163" s="35"/>
      <c r="O163" s="35"/>
      <c r="P163" s="35"/>
    </row>
    <row r="164" spans="1:16" ht="16.5" customHeight="1">
      <c r="A164" s="31" t="s">
        <v>546</v>
      </c>
      <c r="B164" s="31" t="s">
        <v>455</v>
      </c>
      <c r="C164" s="31" t="s">
        <v>624</v>
      </c>
      <c r="D164" s="31" t="s">
        <v>625</v>
      </c>
      <c r="E164" s="31" t="s">
        <v>8</v>
      </c>
      <c r="F164" s="2" t="s">
        <v>6</v>
      </c>
      <c r="G164" s="31"/>
      <c r="H164" s="21"/>
      <c r="J164" s="32"/>
      <c r="K164" s="33" t="s">
        <v>626</v>
      </c>
      <c r="L164" s="35"/>
      <c r="M164" s="35"/>
      <c r="N164" s="35"/>
      <c r="O164" s="35"/>
      <c r="P164" s="35"/>
    </row>
    <row r="165" spans="1:16" ht="16.5" customHeight="1">
      <c r="A165" s="31" t="s">
        <v>546</v>
      </c>
      <c r="B165" s="31" t="s">
        <v>150</v>
      </c>
      <c r="C165" s="31" t="s">
        <v>627</v>
      </c>
      <c r="D165" s="31" t="s">
        <v>707</v>
      </c>
      <c r="E165" s="31" t="s">
        <v>8</v>
      </c>
      <c r="F165" s="2" t="s">
        <v>6</v>
      </c>
      <c r="G165" s="31"/>
      <c r="H165" s="21"/>
      <c r="J165" s="32"/>
      <c r="K165" s="32" t="s">
        <v>628</v>
      </c>
      <c r="L165" s="35"/>
      <c r="M165" s="35"/>
      <c r="N165" s="35"/>
      <c r="O165" s="35"/>
      <c r="P165" s="35"/>
    </row>
    <row r="166" spans="1:16" ht="16.5" customHeight="1">
      <c r="A166" s="31" t="s">
        <v>546</v>
      </c>
      <c r="B166" s="31" t="s">
        <v>150</v>
      </c>
      <c r="C166" s="31" t="s">
        <v>629</v>
      </c>
      <c r="D166" s="31" t="s">
        <v>708</v>
      </c>
      <c r="E166" s="31" t="s">
        <v>8</v>
      </c>
      <c r="F166" s="2" t="s">
        <v>6</v>
      </c>
      <c r="G166" s="31"/>
      <c r="H166" s="21"/>
      <c r="J166" s="32"/>
      <c r="K166" s="32" t="s">
        <v>630</v>
      </c>
      <c r="L166" s="35"/>
      <c r="M166" s="35"/>
      <c r="N166" s="35"/>
      <c r="O166" s="35"/>
      <c r="P166" s="35"/>
    </row>
    <row r="167" spans="1:16" ht="16.5" customHeight="1">
      <c r="A167" s="31" t="s">
        <v>546</v>
      </c>
      <c r="B167" s="31" t="s">
        <v>150</v>
      </c>
      <c r="C167" s="31" t="s">
        <v>631</v>
      </c>
      <c r="D167" s="31" t="s">
        <v>709</v>
      </c>
      <c r="E167" s="31" t="s">
        <v>8</v>
      </c>
      <c r="F167" s="2" t="s">
        <v>6</v>
      </c>
      <c r="G167" s="31"/>
      <c r="H167" s="21"/>
      <c r="J167" s="32"/>
      <c r="K167" s="32" t="s">
        <v>632</v>
      </c>
      <c r="L167" s="35"/>
      <c r="M167" s="35"/>
      <c r="N167" s="35"/>
      <c r="O167" s="35"/>
      <c r="P167" s="35"/>
    </row>
    <row r="168" spans="1:16" ht="16.5" customHeight="1">
      <c r="A168" s="31" t="s">
        <v>546</v>
      </c>
      <c r="B168" s="31" t="s">
        <v>142</v>
      </c>
      <c r="C168" s="31" t="s">
        <v>633</v>
      </c>
      <c r="D168" s="31" t="s">
        <v>710</v>
      </c>
      <c r="E168" s="31" t="s">
        <v>8</v>
      </c>
      <c r="F168" s="2" t="s">
        <v>6</v>
      </c>
      <c r="G168" s="31"/>
      <c r="H168" s="21" t="s">
        <v>13</v>
      </c>
      <c r="J168" s="32"/>
      <c r="K168" s="33" t="s">
        <v>634</v>
      </c>
      <c r="L168" s="35"/>
      <c r="M168" s="35"/>
      <c r="N168" s="35"/>
      <c r="O168" s="35"/>
      <c r="P168" s="35"/>
    </row>
    <row r="169" spans="1:16" ht="16.5" customHeight="1">
      <c r="A169" s="31" t="s">
        <v>546</v>
      </c>
      <c r="B169" s="31" t="s">
        <v>142</v>
      </c>
      <c r="C169" s="31" t="s">
        <v>635</v>
      </c>
      <c r="D169" s="31" t="s">
        <v>711</v>
      </c>
      <c r="E169" s="31" t="s">
        <v>8</v>
      </c>
      <c r="F169" s="2" t="s">
        <v>6</v>
      </c>
      <c r="G169" s="31"/>
      <c r="H169" s="21" t="s">
        <v>13</v>
      </c>
      <c r="J169" s="32"/>
      <c r="K169" s="32" t="s">
        <v>636</v>
      </c>
      <c r="L169" s="35"/>
      <c r="M169" s="35"/>
      <c r="N169" s="35"/>
      <c r="O169" s="35"/>
      <c r="P169" s="35"/>
    </row>
    <row r="170" spans="1:16" ht="16.5" customHeight="1">
      <c r="A170" s="31" t="s">
        <v>546</v>
      </c>
      <c r="B170" s="31" t="s">
        <v>142</v>
      </c>
      <c r="C170" s="31" t="s">
        <v>637</v>
      </c>
      <c r="D170" s="31" t="s">
        <v>712</v>
      </c>
      <c r="E170" s="31" t="s">
        <v>8</v>
      </c>
      <c r="F170" s="2" t="s">
        <v>6</v>
      </c>
      <c r="G170" s="31"/>
      <c r="H170" s="21"/>
      <c r="J170" s="32"/>
      <c r="K170" s="32" t="s">
        <v>638</v>
      </c>
      <c r="L170" s="35"/>
      <c r="M170" s="35"/>
      <c r="N170" s="35"/>
      <c r="O170" s="35"/>
      <c r="P170" s="35"/>
    </row>
    <row r="171" spans="1:16" ht="16.5" customHeight="1">
      <c r="A171" s="31" t="s">
        <v>129</v>
      </c>
      <c r="B171" s="31" t="s">
        <v>132</v>
      </c>
      <c r="C171" s="31" t="s">
        <v>130</v>
      </c>
      <c r="D171" s="31" t="s">
        <v>713</v>
      </c>
      <c r="E171" s="31" t="s">
        <v>8</v>
      </c>
      <c r="F171" s="2" t="s">
        <v>6</v>
      </c>
      <c r="G171" s="31"/>
      <c r="H171" s="21"/>
      <c r="J171" s="32"/>
      <c r="K171" s="32" t="s">
        <v>639</v>
      </c>
      <c r="L171" s="35"/>
      <c r="M171" s="35"/>
      <c r="N171" s="35"/>
      <c r="O171" s="35"/>
      <c r="P171" s="35"/>
    </row>
    <row r="172" spans="1:16" ht="16.5" customHeight="1">
      <c r="A172" s="31" t="s">
        <v>129</v>
      </c>
      <c r="B172" s="31" t="s">
        <v>132</v>
      </c>
      <c r="C172" s="31" t="s">
        <v>131</v>
      </c>
      <c r="D172" s="31" t="s">
        <v>714</v>
      </c>
      <c r="E172" s="31" t="s">
        <v>8</v>
      </c>
      <c r="F172" s="2" t="s">
        <v>6</v>
      </c>
      <c r="G172" s="31"/>
      <c r="H172" s="21"/>
      <c r="J172" s="32"/>
      <c r="K172" s="32" t="s">
        <v>640</v>
      </c>
      <c r="L172" s="35"/>
      <c r="M172" s="35"/>
      <c r="N172" s="35"/>
      <c r="O172" s="35"/>
      <c r="P172" s="35"/>
    </row>
    <row r="173" spans="1:16" ht="16.5" customHeight="1">
      <c r="A173" s="31" t="s">
        <v>129</v>
      </c>
      <c r="B173" s="31" t="s">
        <v>132</v>
      </c>
      <c r="C173" s="31" t="s">
        <v>641</v>
      </c>
      <c r="D173" s="31" t="s">
        <v>715</v>
      </c>
      <c r="E173" s="31" t="s">
        <v>8</v>
      </c>
      <c r="F173" s="2" t="s">
        <v>6</v>
      </c>
      <c r="G173" s="31"/>
      <c r="H173" s="21"/>
      <c r="J173" s="32"/>
      <c r="K173" s="32" t="s">
        <v>642</v>
      </c>
      <c r="L173" s="35"/>
      <c r="M173" s="35"/>
      <c r="N173" s="35"/>
      <c r="O173" s="35"/>
      <c r="P173" s="35"/>
    </row>
    <row r="174" spans="1:16" ht="16.5" customHeight="1">
      <c r="A174" s="31" t="s">
        <v>129</v>
      </c>
      <c r="B174" s="31" t="s">
        <v>132</v>
      </c>
      <c r="C174" s="31" t="s">
        <v>643</v>
      </c>
      <c r="D174" s="31" t="s">
        <v>716</v>
      </c>
      <c r="E174" s="31" t="s">
        <v>8</v>
      </c>
      <c r="F174" s="2" t="s">
        <v>6</v>
      </c>
      <c r="G174" s="31"/>
      <c r="H174" s="21"/>
      <c r="J174" s="32"/>
      <c r="K174" s="32" t="s">
        <v>644</v>
      </c>
      <c r="L174" s="35"/>
      <c r="M174" s="35"/>
      <c r="N174" s="35"/>
      <c r="O174" s="35"/>
      <c r="P174" s="35"/>
    </row>
    <row r="175" spans="1:16" ht="16.5" customHeight="1">
      <c r="A175" s="31" t="s">
        <v>129</v>
      </c>
      <c r="B175" s="31" t="s">
        <v>116</v>
      </c>
      <c r="C175" s="31" t="s">
        <v>645</v>
      </c>
      <c r="D175" s="31" t="s">
        <v>717</v>
      </c>
      <c r="E175" s="31" t="s">
        <v>8</v>
      </c>
      <c r="F175" s="2" t="s">
        <v>6</v>
      </c>
      <c r="G175" s="31"/>
      <c r="H175" s="21"/>
      <c r="J175" s="32"/>
      <c r="K175" s="32" t="s">
        <v>646</v>
      </c>
      <c r="L175" s="35"/>
      <c r="M175" s="35"/>
      <c r="N175" s="35"/>
      <c r="O175" s="35"/>
      <c r="P175" s="35"/>
    </row>
    <row r="176" spans="1:16" ht="16.5" customHeight="1">
      <c r="A176" s="31" t="s">
        <v>129</v>
      </c>
      <c r="B176" s="31" t="s">
        <v>132</v>
      </c>
      <c r="C176" s="31" t="s">
        <v>133</v>
      </c>
      <c r="D176" s="31" t="s">
        <v>718</v>
      </c>
      <c r="E176" s="31" t="s">
        <v>8</v>
      </c>
      <c r="F176" s="2" t="s">
        <v>6</v>
      </c>
      <c r="G176" s="31"/>
      <c r="H176" s="21"/>
      <c r="J176" s="32"/>
      <c r="K176" s="32" t="s">
        <v>647</v>
      </c>
      <c r="L176" s="35"/>
      <c r="M176" s="35"/>
      <c r="N176" s="35"/>
      <c r="O176" s="35"/>
      <c r="P176" s="35"/>
    </row>
    <row r="177" spans="1:16" ht="16.5" customHeight="1">
      <c r="A177" s="31" t="s">
        <v>129</v>
      </c>
      <c r="B177" s="31" t="s">
        <v>134</v>
      </c>
      <c r="C177" s="31" t="s">
        <v>135</v>
      </c>
      <c r="D177" s="31" t="s">
        <v>719</v>
      </c>
      <c r="E177" s="31" t="s">
        <v>8</v>
      </c>
      <c r="F177" s="2" t="s">
        <v>6</v>
      </c>
      <c r="G177" s="31"/>
      <c r="H177" s="21" t="s">
        <v>13</v>
      </c>
      <c r="J177" s="32"/>
      <c r="K177" s="32" t="s">
        <v>648</v>
      </c>
      <c r="L177" s="35"/>
      <c r="M177" s="35"/>
      <c r="N177" s="35"/>
      <c r="O177" s="35"/>
      <c r="P177" s="35"/>
    </row>
    <row r="178" spans="1:16" ht="16.5" customHeight="1">
      <c r="A178" s="31" t="s">
        <v>129</v>
      </c>
      <c r="B178" s="31" t="s">
        <v>136</v>
      </c>
      <c r="C178" s="31" t="s">
        <v>137</v>
      </c>
      <c r="D178" s="31" t="s">
        <v>720</v>
      </c>
      <c r="E178" s="31" t="s">
        <v>8</v>
      </c>
      <c r="F178" s="2" t="s">
        <v>6</v>
      </c>
      <c r="G178" s="31"/>
      <c r="H178" s="21"/>
      <c r="J178" s="32"/>
      <c r="K178" s="32" t="s">
        <v>649</v>
      </c>
      <c r="L178" s="35"/>
      <c r="M178" s="35"/>
      <c r="N178" s="35"/>
      <c r="O178" s="35"/>
      <c r="P178" s="35"/>
    </row>
    <row r="179" spans="1:16" ht="16.5" customHeight="1">
      <c r="A179" s="31" t="s">
        <v>129</v>
      </c>
      <c r="B179" s="31" t="s">
        <v>136</v>
      </c>
      <c r="C179" s="31" t="s">
        <v>138</v>
      </c>
      <c r="D179" s="31" t="s">
        <v>721</v>
      </c>
      <c r="E179" s="31" t="s">
        <v>8</v>
      </c>
      <c r="F179" s="2" t="s">
        <v>6</v>
      </c>
      <c r="G179" s="31"/>
      <c r="H179" s="21" t="s">
        <v>13</v>
      </c>
      <c r="I179" s="21" t="s">
        <v>19</v>
      </c>
      <c r="J179" s="32"/>
      <c r="K179" s="32" t="s">
        <v>650</v>
      </c>
      <c r="L179" s="35"/>
      <c r="M179" s="35"/>
      <c r="N179" s="35"/>
      <c r="O179" s="35"/>
      <c r="P179" s="35"/>
    </row>
    <row r="180" spans="1:16" ht="16.5" customHeight="1">
      <c r="A180" s="31" t="s">
        <v>129</v>
      </c>
      <c r="B180" s="31" t="s">
        <v>139</v>
      </c>
      <c r="C180" s="31" t="s">
        <v>140</v>
      </c>
      <c r="D180" s="31" t="s">
        <v>651</v>
      </c>
      <c r="E180" s="31" t="s">
        <v>8</v>
      </c>
      <c r="F180" s="2" t="s">
        <v>6</v>
      </c>
      <c r="G180" s="31"/>
      <c r="H180" s="21"/>
      <c r="J180" s="32"/>
      <c r="K180" s="33" t="s">
        <v>652</v>
      </c>
      <c r="L180" s="35"/>
      <c r="M180" s="35"/>
      <c r="N180" s="35"/>
      <c r="O180" s="35"/>
      <c r="P180" s="35"/>
    </row>
    <row r="181" spans="1:16" ht="16.5" customHeight="1">
      <c r="A181" s="31" t="s">
        <v>129</v>
      </c>
      <c r="B181" s="31" t="s">
        <v>139</v>
      </c>
      <c r="C181" s="31" t="s">
        <v>141</v>
      </c>
      <c r="D181" s="31" t="s">
        <v>653</v>
      </c>
      <c r="E181" s="31" t="s">
        <v>8</v>
      </c>
      <c r="F181" s="2" t="s">
        <v>6</v>
      </c>
      <c r="G181" s="31"/>
      <c r="H181" s="21"/>
      <c r="J181" s="32"/>
      <c r="K181" s="32" t="s">
        <v>654</v>
      </c>
      <c r="L181" s="35"/>
      <c r="M181" s="35"/>
      <c r="N181" s="35"/>
      <c r="O181" s="35"/>
      <c r="P181" s="35"/>
    </row>
    <row r="182" spans="1:16" ht="16.5" customHeight="1">
      <c r="A182" s="31" t="s">
        <v>94</v>
      </c>
      <c r="B182" s="31" t="s">
        <v>95</v>
      </c>
      <c r="C182" s="31" t="s">
        <v>96</v>
      </c>
      <c r="D182" s="31" t="s">
        <v>655</v>
      </c>
      <c r="E182" s="31" t="s">
        <v>8</v>
      </c>
      <c r="F182" s="2" t="s">
        <v>6</v>
      </c>
      <c r="G182" s="31"/>
      <c r="H182" s="21" t="s">
        <v>13</v>
      </c>
      <c r="I182" s="21" t="s">
        <v>19</v>
      </c>
      <c r="J182" s="32"/>
      <c r="K182" s="32" t="s">
        <v>656</v>
      </c>
      <c r="L182" s="35"/>
      <c r="M182" s="35"/>
      <c r="N182" s="35"/>
      <c r="O182" s="35"/>
      <c r="P182" s="35"/>
    </row>
    <row r="183" spans="1:16" ht="16.5" customHeight="1">
      <c r="A183" s="31" t="s">
        <v>94</v>
      </c>
      <c r="B183" s="31" t="s">
        <v>95</v>
      </c>
      <c r="C183" s="31" t="s">
        <v>97</v>
      </c>
      <c r="D183" s="31" t="s">
        <v>657</v>
      </c>
      <c r="E183" s="31" t="s">
        <v>8</v>
      </c>
      <c r="F183" s="2" t="s">
        <v>6</v>
      </c>
      <c r="G183" s="31"/>
      <c r="H183" s="21"/>
      <c r="J183" s="32"/>
      <c r="K183" s="32" t="s">
        <v>658</v>
      </c>
      <c r="L183" s="35"/>
      <c r="M183" s="35"/>
      <c r="N183" s="35"/>
      <c r="O183" s="35"/>
      <c r="P183" s="35"/>
    </row>
    <row r="184" spans="1:16" ht="16.5" customHeight="1">
      <c r="A184" s="31" t="s">
        <v>94</v>
      </c>
      <c r="B184" s="31" t="s">
        <v>95</v>
      </c>
      <c r="C184" s="31" t="s">
        <v>101</v>
      </c>
      <c r="D184" s="31" t="s">
        <v>659</v>
      </c>
      <c r="E184" s="31" t="s">
        <v>8</v>
      </c>
      <c r="F184" s="2" t="s">
        <v>6</v>
      </c>
      <c r="G184" s="31"/>
      <c r="H184" s="21"/>
      <c r="J184" s="32"/>
      <c r="K184" s="32" t="s">
        <v>660</v>
      </c>
      <c r="L184" s="35"/>
      <c r="M184" s="35"/>
      <c r="N184" s="35"/>
      <c r="O184" s="35"/>
      <c r="P184" s="35"/>
    </row>
    <row r="185" spans="1:16" ht="16.5" customHeight="1">
      <c r="A185" s="31" t="s">
        <v>94</v>
      </c>
      <c r="B185" s="31" t="s">
        <v>98</v>
      </c>
      <c r="C185" s="31" t="s">
        <v>661</v>
      </c>
      <c r="D185" s="31" t="s">
        <v>662</v>
      </c>
      <c r="E185" s="31" t="s">
        <v>5</v>
      </c>
      <c r="F185" s="2" t="s">
        <v>6</v>
      </c>
      <c r="G185" s="31"/>
      <c r="H185" s="21"/>
      <c r="J185" s="32"/>
      <c r="K185" s="32" t="s">
        <v>663</v>
      </c>
      <c r="L185" s="35"/>
      <c r="M185" s="35"/>
      <c r="N185" s="35"/>
      <c r="O185" s="35"/>
      <c r="P185" s="35"/>
    </row>
    <row r="186" spans="1:16" ht="16.5" customHeight="1">
      <c r="A186" s="31" t="s">
        <v>94</v>
      </c>
      <c r="B186" s="31" t="s">
        <v>98</v>
      </c>
      <c r="C186" s="31" t="s">
        <v>99</v>
      </c>
      <c r="D186" s="31" t="s">
        <v>664</v>
      </c>
      <c r="E186" s="31" t="s">
        <v>5</v>
      </c>
      <c r="F186" s="2" t="s">
        <v>6</v>
      </c>
      <c r="G186" s="31"/>
      <c r="H186" s="21" t="s">
        <v>13</v>
      </c>
      <c r="J186" s="32"/>
      <c r="K186" s="32" t="s">
        <v>665</v>
      </c>
      <c r="L186" s="35"/>
      <c r="M186" s="35"/>
      <c r="N186" s="35"/>
      <c r="O186" s="35"/>
      <c r="P186" s="35"/>
    </row>
    <row r="187" spans="1:16" ht="16.5" customHeight="1">
      <c r="A187" s="31" t="s">
        <v>94</v>
      </c>
      <c r="B187" s="31" t="s">
        <v>98</v>
      </c>
      <c r="C187" s="31" t="s">
        <v>100</v>
      </c>
      <c r="D187" s="31" t="s">
        <v>666</v>
      </c>
      <c r="E187" s="31" t="s">
        <v>5</v>
      </c>
      <c r="F187" s="2" t="s">
        <v>6</v>
      </c>
      <c r="G187" s="31"/>
      <c r="H187" s="21"/>
      <c r="J187" s="32"/>
      <c r="K187" s="32" t="s">
        <v>667</v>
      </c>
      <c r="L187" s="35"/>
      <c r="M187" s="35"/>
      <c r="N187" s="35"/>
      <c r="O187" s="35"/>
      <c r="P187" s="35"/>
    </row>
    <row r="188" spans="1:16" ht="16.5" customHeight="1">
      <c r="A188" s="31" t="s">
        <v>94</v>
      </c>
      <c r="B188" s="31" t="s">
        <v>98</v>
      </c>
      <c r="C188" s="31" t="s">
        <v>102</v>
      </c>
      <c r="D188" s="31" t="s">
        <v>668</v>
      </c>
      <c r="E188" s="31" t="s">
        <v>8</v>
      </c>
      <c r="F188" s="2" t="s">
        <v>6</v>
      </c>
      <c r="G188" s="31"/>
      <c r="H188" s="21" t="s">
        <v>13</v>
      </c>
      <c r="J188" s="32"/>
      <c r="K188" s="32" t="s">
        <v>669</v>
      </c>
      <c r="L188" s="35"/>
      <c r="M188" s="35"/>
      <c r="N188" s="35"/>
      <c r="O188" s="35"/>
      <c r="P188" s="35"/>
    </row>
    <row r="189" spans="1:16" ht="16.5" customHeight="1">
      <c r="A189" s="31" t="s">
        <v>94</v>
      </c>
      <c r="B189" s="31" t="s">
        <v>98</v>
      </c>
      <c r="C189" s="31" t="s">
        <v>103</v>
      </c>
      <c r="D189" s="31" t="s">
        <v>670</v>
      </c>
      <c r="E189" s="31" t="s">
        <v>8</v>
      </c>
      <c r="F189" s="2" t="s">
        <v>6</v>
      </c>
      <c r="G189" s="31"/>
      <c r="H189" s="21"/>
      <c r="J189" s="32"/>
      <c r="K189" s="32" t="s">
        <v>671</v>
      </c>
      <c r="L189" s="35"/>
      <c r="M189" s="35"/>
      <c r="N189" s="35"/>
      <c r="O189" s="35"/>
      <c r="P189" s="35"/>
    </row>
    <row r="190" spans="1:16" ht="16.5" customHeight="1">
      <c r="A190" s="31" t="s">
        <v>94</v>
      </c>
      <c r="B190" s="31" t="s">
        <v>98</v>
      </c>
      <c r="C190" s="31" t="s">
        <v>104</v>
      </c>
      <c r="D190" s="31" t="s">
        <v>672</v>
      </c>
      <c r="E190" s="31" t="s">
        <v>8</v>
      </c>
      <c r="F190" s="2" t="s">
        <v>6</v>
      </c>
      <c r="G190" s="31"/>
      <c r="H190" s="21"/>
      <c r="J190" s="32"/>
      <c r="K190" s="33" t="s">
        <v>673</v>
      </c>
      <c r="L190" s="35"/>
      <c r="M190" s="35"/>
      <c r="N190" s="35"/>
      <c r="O190" s="35"/>
      <c r="P190" s="35"/>
    </row>
    <row r="191" spans="1:16" ht="16.5" customHeight="1">
      <c r="A191" s="31" t="s">
        <v>94</v>
      </c>
      <c r="B191" s="31" t="s">
        <v>98</v>
      </c>
      <c r="C191" s="31" t="s">
        <v>105</v>
      </c>
      <c r="D191" s="31" t="s">
        <v>674</v>
      </c>
      <c r="E191" s="31" t="s">
        <v>8</v>
      </c>
      <c r="F191" s="2" t="s">
        <v>6</v>
      </c>
      <c r="G191" s="31"/>
      <c r="H191" s="21"/>
      <c r="J191" s="32"/>
      <c r="K191" s="32" t="s">
        <v>675</v>
      </c>
      <c r="L191" s="35"/>
      <c r="M191" s="35"/>
      <c r="N191" s="35"/>
      <c r="O191" s="35"/>
      <c r="P191" s="35"/>
    </row>
    <row r="192" spans="1:16" ht="16.5" customHeight="1">
      <c r="A192" s="31" t="s">
        <v>94</v>
      </c>
      <c r="B192" s="31" t="s">
        <v>98</v>
      </c>
      <c r="C192" s="31" t="s">
        <v>106</v>
      </c>
      <c r="D192" s="31" t="s">
        <v>676</v>
      </c>
      <c r="E192" s="31" t="s">
        <v>8</v>
      </c>
      <c r="F192" s="2" t="s">
        <v>6</v>
      </c>
      <c r="G192" s="31"/>
      <c r="H192" s="21" t="s">
        <v>13</v>
      </c>
      <c r="J192" s="32"/>
      <c r="K192" s="32" t="s">
        <v>677</v>
      </c>
      <c r="L192" s="35"/>
      <c r="M192" s="35"/>
      <c r="N192" s="35"/>
      <c r="O192" s="35"/>
      <c r="P192" s="35"/>
    </row>
    <row r="193" spans="1:16" ht="16.5" customHeight="1">
      <c r="A193" s="31" t="s">
        <v>142</v>
      </c>
      <c r="B193" s="31" t="s">
        <v>132</v>
      </c>
      <c r="C193" s="31" t="s">
        <v>143</v>
      </c>
      <c r="D193" s="31" t="s">
        <v>678</v>
      </c>
      <c r="E193" s="31" t="s">
        <v>8</v>
      </c>
      <c r="F193" s="2" t="s">
        <v>6</v>
      </c>
      <c r="G193" s="31"/>
      <c r="H193" s="21"/>
      <c r="J193" s="32"/>
      <c r="K193" s="32" t="s">
        <v>679</v>
      </c>
      <c r="L193" s="35"/>
      <c r="M193" s="35"/>
      <c r="N193" s="35"/>
      <c r="O193" s="35"/>
      <c r="P193" s="35"/>
    </row>
    <row r="194" spans="1:16" ht="16.5" customHeight="1">
      <c r="A194" s="31" t="s">
        <v>142</v>
      </c>
      <c r="B194" s="31" t="s">
        <v>132</v>
      </c>
      <c r="C194" s="31" t="s">
        <v>144</v>
      </c>
      <c r="D194" s="31" t="s">
        <v>680</v>
      </c>
      <c r="E194" s="31" t="s">
        <v>8</v>
      </c>
      <c r="F194" s="2" t="s">
        <v>6</v>
      </c>
      <c r="G194" s="31"/>
      <c r="H194" s="21"/>
      <c r="J194" s="32"/>
      <c r="K194" s="32" t="s">
        <v>681</v>
      </c>
      <c r="L194" s="35"/>
      <c r="M194" s="35"/>
      <c r="N194" s="35"/>
      <c r="O194" s="35"/>
      <c r="P194" s="35"/>
    </row>
    <row r="195" spans="1:16" ht="16.5" customHeight="1">
      <c r="A195" s="31" t="s">
        <v>142</v>
      </c>
      <c r="B195" s="31" t="s">
        <v>132</v>
      </c>
      <c r="C195" s="31" t="s">
        <v>145</v>
      </c>
      <c r="D195" s="31" t="s">
        <v>682</v>
      </c>
      <c r="E195" s="31" t="s">
        <v>8</v>
      </c>
      <c r="F195" s="2" t="s">
        <v>6</v>
      </c>
      <c r="G195" s="31"/>
      <c r="H195" s="21"/>
      <c r="J195" s="32"/>
      <c r="K195" s="32" t="s">
        <v>683</v>
      </c>
      <c r="L195" s="35"/>
      <c r="M195" s="35"/>
      <c r="N195" s="35"/>
      <c r="O195" s="35"/>
      <c r="P195" s="35"/>
    </row>
    <row r="196" spans="1:16" ht="16.5" customHeight="1">
      <c r="A196" s="31" t="s">
        <v>142</v>
      </c>
      <c r="B196" s="31" t="s">
        <v>132</v>
      </c>
      <c r="C196" s="31" t="s">
        <v>146</v>
      </c>
      <c r="D196" s="31"/>
      <c r="E196" s="31" t="s">
        <v>7</v>
      </c>
      <c r="F196" s="2" t="s">
        <v>6</v>
      </c>
      <c r="G196" s="31"/>
      <c r="H196" s="21" t="s">
        <v>13</v>
      </c>
      <c r="J196" s="32"/>
      <c r="K196" s="32" t="s">
        <v>684</v>
      </c>
      <c r="L196" s="35"/>
      <c r="M196" s="35"/>
      <c r="N196" s="35"/>
      <c r="O196" s="35"/>
      <c r="P196" s="35"/>
    </row>
    <row r="197" spans="1:16" ht="16.5" customHeight="1">
      <c r="A197" s="31" t="s">
        <v>142</v>
      </c>
      <c r="B197" s="31" t="s">
        <v>142</v>
      </c>
      <c r="C197" s="31" t="s">
        <v>147</v>
      </c>
      <c r="D197" s="31" t="s">
        <v>685</v>
      </c>
      <c r="E197" s="31" t="s">
        <v>8</v>
      </c>
      <c r="F197" s="2" t="s">
        <v>6</v>
      </c>
      <c r="G197" s="31"/>
      <c r="H197" s="21"/>
      <c r="J197" s="32"/>
      <c r="K197" s="32" t="s">
        <v>686</v>
      </c>
      <c r="L197" s="35"/>
      <c r="M197" s="35"/>
      <c r="N197" s="35"/>
      <c r="O197" s="35"/>
      <c r="P197" s="35"/>
    </row>
    <row r="198" spans="1:16" ht="16.5" customHeight="1">
      <c r="A198" s="31" t="s">
        <v>142</v>
      </c>
      <c r="B198" s="31" t="s">
        <v>142</v>
      </c>
      <c r="C198" s="31" t="s">
        <v>148</v>
      </c>
      <c r="D198" s="31" t="s">
        <v>687</v>
      </c>
      <c r="E198" s="31" t="s">
        <v>8</v>
      </c>
      <c r="F198" s="2" t="s">
        <v>6</v>
      </c>
      <c r="G198" s="31"/>
      <c r="H198" s="21"/>
      <c r="J198" s="32"/>
      <c r="K198" s="32" t="s">
        <v>688</v>
      </c>
      <c r="L198" s="35"/>
      <c r="M198" s="35"/>
      <c r="N198" s="35"/>
      <c r="O198" s="35"/>
      <c r="P198" s="35"/>
    </row>
    <row r="199" spans="1:16" ht="16.5" customHeight="1">
      <c r="A199" s="31" t="s">
        <v>142</v>
      </c>
      <c r="B199" s="31" t="s">
        <v>142</v>
      </c>
      <c r="C199" s="31" t="s">
        <v>149</v>
      </c>
      <c r="D199" s="31" t="s">
        <v>689</v>
      </c>
      <c r="E199" s="31" t="s">
        <v>8</v>
      </c>
      <c r="F199" s="2" t="s">
        <v>6</v>
      </c>
      <c r="G199" s="31"/>
      <c r="J199" s="32"/>
      <c r="K199" s="32" t="s">
        <v>690</v>
      </c>
      <c r="L199" s="35"/>
      <c r="M199" s="35"/>
      <c r="N199" s="35"/>
      <c r="O199" s="35"/>
      <c r="P199" s="35"/>
    </row>
    <row r="200" spans="1:16" ht="16.5" customHeight="1">
      <c r="A200" s="31" t="s">
        <v>33</v>
      </c>
      <c r="B200" s="31" t="s">
        <v>33</v>
      </c>
      <c r="C200" s="31" t="s">
        <v>107</v>
      </c>
      <c r="D200" s="31" t="s">
        <v>691</v>
      </c>
      <c r="E200" s="31" t="s">
        <v>8</v>
      </c>
      <c r="F200" s="2" t="s">
        <v>6</v>
      </c>
      <c r="G200" s="31"/>
      <c r="J200" s="32"/>
      <c r="K200" s="32" t="s">
        <v>692</v>
      </c>
      <c r="L200" s="35"/>
      <c r="M200" s="35"/>
      <c r="N200" s="35"/>
      <c r="O200" s="35"/>
      <c r="P200" s="35"/>
    </row>
    <row r="201" spans="1:16" ht="16.5" customHeight="1">
      <c r="A201" s="31" t="s">
        <v>33</v>
      </c>
      <c r="B201" s="31" t="s">
        <v>33</v>
      </c>
      <c r="C201" s="31" t="s">
        <v>108</v>
      </c>
      <c r="D201" s="31" t="s">
        <v>693</v>
      </c>
      <c r="E201" s="31" t="s">
        <v>8</v>
      </c>
      <c r="F201" s="2" t="s">
        <v>6</v>
      </c>
      <c r="G201" s="31"/>
      <c r="H201" s="21" t="s">
        <v>13</v>
      </c>
      <c r="J201" s="32"/>
      <c r="K201" s="32" t="s">
        <v>694</v>
      </c>
      <c r="L201" s="35"/>
      <c r="M201" s="35"/>
      <c r="N201" s="35"/>
      <c r="O201" s="35"/>
      <c r="P201" s="35"/>
    </row>
    <row r="202" spans="1:16" ht="16.5" customHeight="1">
      <c r="A202" s="31" t="s">
        <v>33</v>
      </c>
      <c r="B202" s="31" t="s">
        <v>33</v>
      </c>
      <c r="C202" s="31" t="s">
        <v>109</v>
      </c>
      <c r="D202" s="31" t="s">
        <v>695</v>
      </c>
      <c r="E202" s="31" t="s">
        <v>8</v>
      </c>
      <c r="F202" s="2" t="s">
        <v>6</v>
      </c>
      <c r="G202" s="31"/>
      <c r="J202" s="32"/>
      <c r="K202" s="32" t="s">
        <v>696</v>
      </c>
      <c r="L202" s="35"/>
      <c r="M202" s="35"/>
      <c r="N202" s="35"/>
      <c r="O202" s="35"/>
      <c r="P202" s="35"/>
    </row>
    <row r="203" spans="1:16" ht="16.5" customHeight="1">
      <c r="A203" s="31" t="s">
        <v>33</v>
      </c>
      <c r="B203" s="31" t="s">
        <v>110</v>
      </c>
      <c r="C203" s="31" t="s">
        <v>111</v>
      </c>
      <c r="D203" s="31" t="s">
        <v>697</v>
      </c>
      <c r="E203" s="31" t="s">
        <v>8</v>
      </c>
      <c r="F203" s="2" t="s">
        <v>6</v>
      </c>
      <c r="G203" s="31"/>
      <c r="J203" s="32"/>
      <c r="K203" s="32" t="s">
        <v>698</v>
      </c>
      <c r="L203" s="35"/>
      <c r="M203" s="35"/>
      <c r="N203" s="35"/>
      <c r="O203" s="35"/>
      <c r="P203" s="35"/>
    </row>
    <row r="204" spans="1:16" ht="16.5" customHeight="1">
      <c r="A204" s="31" t="s">
        <v>33</v>
      </c>
      <c r="B204" s="31" t="s">
        <v>110</v>
      </c>
      <c r="C204" s="31" t="s">
        <v>112</v>
      </c>
      <c r="D204" s="31" t="s">
        <v>699</v>
      </c>
      <c r="E204" s="31" t="s">
        <v>8</v>
      </c>
      <c r="F204" s="2" t="s">
        <v>6</v>
      </c>
      <c r="G204" s="31"/>
      <c r="J204" s="32"/>
      <c r="K204" s="32" t="s">
        <v>700</v>
      </c>
      <c r="L204" s="35"/>
      <c r="M204" s="35"/>
      <c r="N204" s="35"/>
      <c r="O204" s="35"/>
      <c r="P204" s="35"/>
    </row>
    <row r="205" spans="1:16" ht="16.5" customHeight="1">
      <c r="A205" s="31" t="s">
        <v>33</v>
      </c>
      <c r="B205" s="31" t="s">
        <v>110</v>
      </c>
      <c r="C205" s="31" t="s">
        <v>113</v>
      </c>
      <c r="D205" s="31" t="s">
        <v>701</v>
      </c>
      <c r="E205" s="31" t="s">
        <v>8</v>
      </c>
      <c r="F205" s="2" t="s">
        <v>6</v>
      </c>
      <c r="G205" s="31"/>
      <c r="J205" s="32"/>
      <c r="K205" s="32" t="s">
        <v>702</v>
      </c>
      <c r="L205" s="35"/>
      <c r="M205" s="35"/>
      <c r="N205" s="35"/>
      <c r="O205" s="35"/>
      <c r="P205" s="35"/>
    </row>
    <row r="206" spans="1:16" ht="16.5" customHeight="1">
      <c r="A206" s="31" t="s">
        <v>33</v>
      </c>
      <c r="B206" s="31" t="s">
        <v>110</v>
      </c>
      <c r="C206" s="31" t="s">
        <v>114</v>
      </c>
      <c r="D206" s="31" t="s">
        <v>703</v>
      </c>
      <c r="E206" s="31" t="s">
        <v>8</v>
      </c>
      <c r="F206" s="2" t="s">
        <v>6</v>
      </c>
      <c r="G206" s="31"/>
      <c r="J206" s="32"/>
      <c r="K206" s="32" t="s">
        <v>704</v>
      </c>
      <c r="L206" s="35"/>
      <c r="M206" s="35"/>
      <c r="N206" s="35"/>
      <c r="O206" s="35"/>
      <c r="P206" s="35"/>
    </row>
    <row r="207" spans="1:16" ht="16.5" customHeight="1">
      <c r="A207" s="31" t="s">
        <v>33</v>
      </c>
      <c r="B207" s="31" t="s">
        <v>110</v>
      </c>
      <c r="C207" s="31" t="s">
        <v>115</v>
      </c>
      <c r="D207" s="31" t="s">
        <v>705</v>
      </c>
      <c r="E207" s="31" t="s">
        <v>8</v>
      </c>
      <c r="F207" s="2" t="s">
        <v>6</v>
      </c>
      <c r="G207" s="31"/>
      <c r="J207" s="32"/>
      <c r="K207" s="32" t="s">
        <v>706</v>
      </c>
      <c r="L207" s="35"/>
      <c r="M207" s="35"/>
      <c r="N207" s="35"/>
      <c r="O207" s="35"/>
      <c r="P207" s="35"/>
    </row>
    <row r="208" spans="1:16" ht="16.5" customHeight="1">
      <c r="A208" s="31"/>
      <c r="B208" s="31"/>
      <c r="C208" s="31"/>
      <c r="D208" s="31"/>
      <c r="E208" s="31"/>
      <c r="G208" s="31"/>
      <c r="J208" s="32"/>
      <c r="K208" s="32"/>
      <c r="L208" s="35"/>
      <c r="M208" s="35"/>
      <c r="N208" s="35"/>
      <c r="O208" s="35"/>
      <c r="P208" s="35"/>
    </row>
    <row r="209" spans="1:16" ht="16.5" customHeight="1">
      <c r="A209" s="31"/>
      <c r="B209" s="31"/>
      <c r="C209" s="31"/>
      <c r="D209" s="31"/>
      <c r="E209" s="31"/>
      <c r="G209" s="31"/>
      <c r="J209" s="32"/>
      <c r="K209" s="32"/>
      <c r="L209" s="35"/>
      <c r="M209" s="35"/>
      <c r="N209" s="35"/>
      <c r="O209" s="35"/>
      <c r="P209" s="35"/>
    </row>
    <row r="210" spans="1:16">
      <c r="A210" s="31"/>
      <c r="B210" s="31"/>
      <c r="C210" s="31"/>
      <c r="D210" s="31"/>
      <c r="E210" s="31"/>
      <c r="G210" s="31"/>
      <c r="J210" s="32"/>
      <c r="K210" s="32"/>
      <c r="L210" s="35"/>
      <c r="M210" s="35"/>
      <c r="N210" s="35"/>
      <c r="O210" s="35"/>
      <c r="P210" s="35"/>
    </row>
    <row r="211" spans="1:16">
      <c r="A211" s="31"/>
      <c r="B211" s="31"/>
      <c r="C211" s="31"/>
      <c r="D211" s="31"/>
      <c r="E211" s="31"/>
      <c r="G211" s="31"/>
      <c r="J211" s="32"/>
      <c r="K211" s="32"/>
      <c r="L211" s="35"/>
      <c r="M211" s="35"/>
      <c r="N211" s="35"/>
      <c r="O211" s="35"/>
      <c r="P211" s="35"/>
    </row>
    <row r="212" spans="1:16">
      <c r="A212" s="31"/>
      <c r="B212" s="31"/>
      <c r="C212" s="31"/>
      <c r="D212" s="31"/>
      <c r="E212" s="31"/>
      <c r="G212" s="31"/>
      <c r="J212" s="32"/>
      <c r="K212" s="32"/>
      <c r="L212" s="35"/>
      <c r="M212" s="35"/>
      <c r="N212" s="35"/>
      <c r="O212" s="35"/>
      <c r="P212" s="35"/>
    </row>
    <row r="213" spans="1:16">
      <c r="A213" s="31"/>
      <c r="B213" s="31"/>
      <c r="C213" s="31"/>
      <c r="D213" s="31"/>
      <c r="E213" s="31"/>
      <c r="G213" s="31"/>
      <c r="J213" s="32"/>
      <c r="K213" s="32"/>
      <c r="L213" s="35"/>
      <c r="M213" s="35"/>
      <c r="N213" s="35"/>
      <c r="O213" s="35"/>
      <c r="P213" s="35"/>
    </row>
    <row r="214" spans="1:16">
      <c r="A214" s="31"/>
      <c r="B214" s="31"/>
      <c r="C214" s="31"/>
      <c r="D214" s="31"/>
      <c r="E214" s="31"/>
      <c r="G214" s="31"/>
      <c r="J214" s="32"/>
      <c r="K214" s="32"/>
      <c r="L214" s="35"/>
      <c r="M214" s="35"/>
      <c r="N214" s="35"/>
      <c r="O214" s="35"/>
      <c r="P214" s="35"/>
    </row>
    <row r="215" spans="1:16">
      <c r="A215" s="31"/>
      <c r="B215" s="31"/>
      <c r="C215" s="31"/>
      <c r="D215" s="31"/>
      <c r="E215" s="31"/>
      <c r="G215" s="31"/>
      <c r="J215" s="32"/>
      <c r="K215" s="32"/>
      <c r="L215" s="35"/>
      <c r="M215" s="35"/>
      <c r="N215" s="35"/>
      <c r="O215" s="35"/>
      <c r="P215" s="35"/>
    </row>
    <row r="216" spans="1:16">
      <c r="A216" s="31"/>
      <c r="B216" s="31"/>
      <c r="C216" s="31"/>
      <c r="D216" s="31"/>
      <c r="E216" s="31"/>
      <c r="G216" s="31"/>
      <c r="J216" s="32"/>
      <c r="K216" s="32"/>
      <c r="L216" s="35"/>
      <c r="M216" s="35"/>
      <c r="N216" s="35"/>
      <c r="O216" s="35"/>
      <c r="P216" s="35"/>
    </row>
    <row r="217" spans="1:16">
      <c r="A217" s="31"/>
      <c r="B217" s="31"/>
      <c r="C217" s="31"/>
      <c r="D217" s="31"/>
      <c r="E217" s="31"/>
      <c r="G217" s="31"/>
      <c r="J217" s="32"/>
      <c r="K217" s="32"/>
      <c r="L217" s="35"/>
      <c r="M217" s="35"/>
      <c r="N217" s="35"/>
      <c r="O217" s="35"/>
      <c r="P217" s="35"/>
    </row>
    <row r="218" spans="1:16">
      <c r="A218" s="31"/>
      <c r="B218" s="31"/>
      <c r="C218" s="31"/>
      <c r="D218" s="31"/>
      <c r="E218" s="31"/>
      <c r="G218" s="31"/>
      <c r="J218" s="32"/>
      <c r="K218" s="32"/>
      <c r="L218" s="35"/>
      <c r="M218" s="35"/>
      <c r="N218" s="35"/>
      <c r="O218" s="35"/>
      <c r="P218" s="35"/>
    </row>
    <row r="219" spans="1:16">
      <c r="A219" s="31"/>
      <c r="B219" s="31"/>
      <c r="C219" s="31"/>
      <c r="D219" s="31"/>
      <c r="E219" s="31"/>
      <c r="G219" s="31"/>
      <c r="J219" s="32"/>
      <c r="K219" s="32"/>
      <c r="L219" s="35"/>
      <c r="M219" s="35"/>
      <c r="N219" s="35"/>
      <c r="O219" s="35"/>
      <c r="P219" s="35"/>
    </row>
    <row r="220" spans="1:16">
      <c r="A220" s="31"/>
      <c r="B220" s="31"/>
      <c r="C220" s="31"/>
      <c r="D220" s="31"/>
      <c r="E220" s="31"/>
      <c r="G220" s="31"/>
      <c r="J220" s="32"/>
      <c r="K220" s="32"/>
      <c r="L220" s="35"/>
      <c r="M220" s="35"/>
      <c r="N220" s="35"/>
      <c r="O220" s="35"/>
      <c r="P220" s="35"/>
    </row>
    <row r="221" spans="1:16">
      <c r="A221" s="31"/>
      <c r="B221" s="31"/>
      <c r="C221" s="31"/>
      <c r="D221" s="31"/>
      <c r="E221" s="31"/>
      <c r="G221" s="31"/>
      <c r="J221" s="32"/>
      <c r="K221" s="32"/>
      <c r="L221" s="35"/>
      <c r="M221" s="35"/>
      <c r="N221" s="35"/>
      <c r="O221" s="35"/>
      <c r="P221" s="35"/>
    </row>
    <row r="222" spans="1:16">
      <c r="A222" s="31"/>
      <c r="B222" s="31"/>
      <c r="C222" s="31"/>
      <c r="D222" s="31"/>
      <c r="E222" s="31"/>
      <c r="G222" s="31"/>
      <c r="J222" s="32"/>
      <c r="K222" s="32"/>
      <c r="L222" s="35"/>
      <c r="M222" s="35"/>
      <c r="N222" s="35"/>
      <c r="O222" s="35"/>
      <c r="P222" s="35"/>
    </row>
    <row r="223" spans="1:16">
      <c r="A223" s="31"/>
      <c r="B223" s="31"/>
      <c r="C223" s="31"/>
      <c r="D223" s="31"/>
      <c r="E223" s="31"/>
      <c r="G223" s="31"/>
      <c r="J223" s="32"/>
      <c r="K223" s="32"/>
      <c r="L223" s="35"/>
      <c r="M223" s="35"/>
      <c r="N223" s="35"/>
      <c r="O223" s="35"/>
      <c r="P223" s="35"/>
    </row>
    <row r="224" spans="1:16">
      <c r="A224" s="31"/>
      <c r="B224" s="31"/>
      <c r="C224" s="31"/>
      <c r="D224" s="31"/>
      <c r="E224" s="31"/>
      <c r="G224" s="31"/>
      <c r="J224" s="32"/>
      <c r="K224" s="32"/>
      <c r="L224" s="35"/>
      <c r="M224" s="35"/>
      <c r="N224" s="35"/>
      <c r="O224" s="35"/>
      <c r="P224" s="35"/>
    </row>
    <row r="225" spans="1:16">
      <c r="A225" s="31"/>
      <c r="B225" s="31"/>
      <c r="C225" s="31"/>
      <c r="D225" s="31"/>
      <c r="E225" s="31"/>
      <c r="G225" s="31"/>
      <c r="J225" s="32"/>
      <c r="K225" s="32"/>
      <c r="L225" s="35"/>
      <c r="M225" s="35"/>
      <c r="N225" s="35"/>
      <c r="O225" s="35"/>
      <c r="P225" s="35"/>
    </row>
    <row r="226" spans="1:16">
      <c r="A226" s="31"/>
      <c r="B226" s="31"/>
      <c r="C226" s="31"/>
      <c r="D226" s="31"/>
      <c r="E226" s="31"/>
      <c r="G226" s="31"/>
      <c r="J226" s="32"/>
      <c r="K226" s="32"/>
      <c r="L226" s="35"/>
      <c r="M226" s="35"/>
      <c r="N226" s="35"/>
      <c r="O226" s="35"/>
      <c r="P226" s="35"/>
    </row>
    <row r="227" spans="1:16">
      <c r="A227" s="31"/>
      <c r="B227" s="31"/>
      <c r="C227" s="31"/>
      <c r="D227" s="31"/>
      <c r="E227" s="31"/>
      <c r="G227" s="31"/>
      <c r="J227" s="32"/>
      <c r="K227" s="32"/>
      <c r="L227" s="35"/>
      <c r="M227" s="35"/>
      <c r="N227" s="35"/>
      <c r="O227" s="35"/>
      <c r="P227" s="35"/>
    </row>
    <row r="228" spans="1:16">
      <c r="A228" s="31"/>
      <c r="B228" s="31"/>
      <c r="C228" s="31"/>
      <c r="D228" s="31"/>
      <c r="E228" s="31"/>
      <c r="G228" s="31"/>
      <c r="J228" s="32"/>
      <c r="K228" s="32"/>
      <c r="L228" s="35"/>
      <c r="M228" s="35"/>
      <c r="N228" s="35"/>
      <c r="O228" s="35"/>
      <c r="P228" s="35"/>
    </row>
    <row r="229" spans="1:16">
      <c r="A229" s="31"/>
      <c r="B229" s="31"/>
      <c r="C229" s="31"/>
      <c r="D229" s="31"/>
      <c r="E229" s="31"/>
      <c r="G229" s="31"/>
      <c r="J229" s="32"/>
      <c r="K229" s="32"/>
      <c r="L229" s="35"/>
      <c r="M229" s="35"/>
      <c r="N229" s="35"/>
      <c r="O229" s="35"/>
      <c r="P229" s="35"/>
    </row>
    <row r="230" spans="1:16">
      <c r="A230" s="31"/>
      <c r="B230" s="31"/>
      <c r="C230" s="31"/>
      <c r="D230" s="31"/>
      <c r="E230" s="31"/>
      <c r="G230" s="31"/>
      <c r="J230" s="32"/>
      <c r="K230" s="32"/>
      <c r="L230" s="35"/>
      <c r="M230" s="35"/>
      <c r="N230" s="35"/>
      <c r="O230" s="35"/>
      <c r="P230" s="35"/>
    </row>
    <row r="231" spans="1:16">
      <c r="A231" s="31"/>
      <c r="B231" s="31"/>
      <c r="C231" s="31"/>
      <c r="D231" s="31"/>
      <c r="E231" s="31"/>
      <c r="G231" s="31"/>
      <c r="J231" s="32"/>
      <c r="K231" s="32"/>
      <c r="L231" s="35"/>
      <c r="M231" s="35"/>
      <c r="N231" s="35"/>
      <c r="O231" s="35"/>
      <c r="P231" s="35"/>
    </row>
    <row r="232" spans="1:16">
      <c r="A232" s="31"/>
      <c r="B232" s="31"/>
      <c r="C232" s="31"/>
      <c r="D232" s="31"/>
      <c r="E232" s="31"/>
      <c r="G232" s="31"/>
      <c r="J232" s="32"/>
      <c r="K232" s="32"/>
      <c r="L232" s="35"/>
      <c r="M232" s="35"/>
      <c r="N232" s="35"/>
      <c r="O232" s="35"/>
      <c r="P232" s="35"/>
    </row>
    <row r="233" spans="1:16">
      <c r="A233" s="31"/>
      <c r="B233" s="31"/>
      <c r="C233" s="31"/>
      <c r="D233" s="31"/>
      <c r="E233" s="31"/>
      <c r="G233" s="31"/>
      <c r="J233" s="32"/>
      <c r="K233" s="32"/>
      <c r="L233" s="35"/>
      <c r="M233" s="35"/>
      <c r="N233" s="35"/>
      <c r="O233" s="35"/>
      <c r="P233" s="35"/>
    </row>
    <row r="234" spans="1:16">
      <c r="A234" s="31"/>
      <c r="B234" s="31"/>
      <c r="C234" s="31"/>
      <c r="D234" s="31"/>
      <c r="E234" s="31"/>
      <c r="G234" s="31"/>
      <c r="J234" s="32"/>
      <c r="K234" s="32"/>
      <c r="L234" s="35"/>
      <c r="M234" s="35"/>
      <c r="N234" s="35"/>
      <c r="O234" s="35"/>
      <c r="P234" s="35"/>
    </row>
    <row r="235" spans="1:16">
      <c r="A235" s="31"/>
      <c r="B235" s="31"/>
      <c r="C235" s="31"/>
      <c r="D235" s="31"/>
      <c r="E235" s="31"/>
      <c r="G235" s="31"/>
      <c r="J235" s="32"/>
      <c r="K235" s="32"/>
      <c r="L235" s="35"/>
      <c r="M235" s="35"/>
      <c r="N235" s="35"/>
      <c r="O235" s="35"/>
      <c r="P235" s="35"/>
    </row>
    <row r="236" spans="1:16">
      <c r="A236" s="31"/>
      <c r="B236" s="31"/>
      <c r="C236" s="31"/>
      <c r="D236" s="31"/>
      <c r="E236" s="31"/>
      <c r="G236" s="31"/>
      <c r="J236" s="32"/>
      <c r="K236" s="32"/>
      <c r="L236" s="35"/>
      <c r="M236" s="35"/>
      <c r="N236" s="35"/>
      <c r="O236" s="35"/>
      <c r="P236" s="35"/>
    </row>
    <row r="237" spans="1:16">
      <c r="A237" s="31"/>
      <c r="B237" s="31"/>
      <c r="C237" s="31"/>
      <c r="D237" s="31"/>
      <c r="E237" s="31"/>
      <c r="G237" s="31"/>
      <c r="J237" s="32"/>
      <c r="K237" s="32"/>
      <c r="L237" s="35"/>
      <c r="M237" s="35"/>
      <c r="N237" s="35"/>
      <c r="O237" s="35"/>
      <c r="P237" s="35"/>
    </row>
    <row r="238" spans="1:16">
      <c r="A238" s="31"/>
      <c r="B238" s="31"/>
      <c r="C238" s="31"/>
      <c r="D238" s="31"/>
      <c r="E238" s="31"/>
      <c r="G238" s="31"/>
      <c r="J238" s="32"/>
      <c r="K238" s="32"/>
      <c r="L238" s="35"/>
      <c r="M238" s="35"/>
      <c r="N238" s="35"/>
      <c r="O238" s="35"/>
      <c r="P238" s="35"/>
    </row>
    <row r="239" spans="1:16">
      <c r="A239" s="31"/>
      <c r="B239" s="31"/>
      <c r="C239" s="31"/>
      <c r="D239" s="31"/>
      <c r="E239" s="31"/>
      <c r="G239" s="31"/>
      <c r="J239" s="32"/>
      <c r="K239" s="32"/>
      <c r="L239" s="35"/>
      <c r="M239" s="35"/>
      <c r="N239" s="35"/>
      <c r="O239" s="35"/>
      <c r="P239" s="35"/>
    </row>
    <row r="240" spans="1:16">
      <c r="A240" s="31"/>
      <c r="B240" s="31"/>
      <c r="C240" s="31"/>
      <c r="D240" s="31"/>
      <c r="E240" s="31"/>
      <c r="G240" s="31"/>
      <c r="J240" s="32"/>
      <c r="K240" s="32"/>
      <c r="L240" s="35"/>
      <c r="M240" s="35"/>
      <c r="N240" s="35"/>
      <c r="O240" s="35"/>
      <c r="P240" s="35"/>
    </row>
    <row r="241" spans="1:16">
      <c r="A241" s="31"/>
      <c r="B241" s="31"/>
      <c r="C241" s="31"/>
      <c r="D241" s="31"/>
      <c r="E241" s="31"/>
      <c r="G241" s="31"/>
      <c r="J241" s="32"/>
      <c r="K241" s="32"/>
      <c r="L241" s="35"/>
      <c r="M241" s="35"/>
      <c r="N241" s="35"/>
      <c r="O241" s="35"/>
      <c r="P241" s="35"/>
    </row>
    <row r="242" spans="1:16">
      <c r="A242" s="31"/>
      <c r="B242" s="31"/>
      <c r="C242" s="31"/>
      <c r="D242" s="31"/>
      <c r="E242" s="31"/>
      <c r="G242" s="31"/>
      <c r="J242" s="32"/>
      <c r="K242" s="32"/>
      <c r="L242" s="35"/>
      <c r="M242" s="35"/>
      <c r="N242" s="35"/>
      <c r="O242" s="35"/>
      <c r="P242" s="35"/>
    </row>
    <row r="243" spans="1:16">
      <c r="A243" s="31"/>
      <c r="B243" s="31"/>
      <c r="C243" s="31"/>
      <c r="D243" s="31"/>
      <c r="E243" s="31"/>
      <c r="G243" s="31"/>
      <c r="J243" s="32"/>
      <c r="K243" s="32"/>
      <c r="L243" s="35"/>
      <c r="M243" s="35"/>
      <c r="N243" s="35"/>
      <c r="O243" s="35"/>
      <c r="P243" s="35"/>
    </row>
    <row r="244" spans="1:16">
      <c r="A244" s="31"/>
      <c r="B244" s="31"/>
      <c r="C244" s="31"/>
      <c r="D244" s="31"/>
      <c r="E244" s="31"/>
      <c r="G244" s="31"/>
      <c r="J244" s="32"/>
      <c r="K244" s="32"/>
      <c r="L244" s="35"/>
      <c r="M244" s="35"/>
      <c r="N244" s="35"/>
      <c r="O244" s="35"/>
      <c r="P244" s="35"/>
    </row>
    <row r="245" spans="1:16">
      <c r="A245" s="31"/>
      <c r="B245" s="31"/>
      <c r="C245" s="31"/>
      <c r="D245" s="31"/>
      <c r="E245" s="31"/>
      <c r="G245" s="31"/>
      <c r="J245" s="32"/>
      <c r="K245" s="32"/>
      <c r="L245" s="35"/>
      <c r="M245" s="35"/>
      <c r="N245" s="35"/>
      <c r="O245" s="35"/>
      <c r="P245" s="35"/>
    </row>
    <row r="246" spans="1:16">
      <c r="A246" s="31"/>
      <c r="B246" s="31"/>
      <c r="C246" s="31"/>
      <c r="D246" s="31"/>
      <c r="E246" s="31"/>
      <c r="G246" s="31"/>
      <c r="J246" s="32"/>
      <c r="K246" s="32"/>
      <c r="L246" s="35"/>
      <c r="M246" s="35"/>
      <c r="N246" s="35"/>
      <c r="O246" s="35"/>
      <c r="P246" s="35"/>
    </row>
    <row r="247" spans="1:16">
      <c r="A247" s="31"/>
      <c r="B247" s="31"/>
      <c r="C247" s="31"/>
      <c r="D247" s="31"/>
      <c r="E247" s="31"/>
      <c r="G247" s="31"/>
      <c r="J247" s="32"/>
      <c r="K247" s="32"/>
      <c r="L247" s="35"/>
      <c r="M247" s="35"/>
      <c r="N247" s="35"/>
      <c r="O247" s="35"/>
      <c r="P247" s="35"/>
    </row>
    <row r="248" spans="1:16">
      <c r="A248" s="31"/>
      <c r="B248" s="31"/>
      <c r="C248" s="31"/>
      <c r="D248" s="31"/>
      <c r="E248" s="31"/>
      <c r="G248" s="31"/>
      <c r="J248" s="32"/>
      <c r="K248" s="32"/>
      <c r="L248" s="35"/>
      <c r="M248" s="35"/>
      <c r="N248" s="35"/>
      <c r="O248" s="35"/>
      <c r="P248" s="35"/>
    </row>
    <row r="249" spans="1:16">
      <c r="A249" s="31"/>
      <c r="B249" s="31"/>
      <c r="C249" s="31"/>
      <c r="D249" s="31"/>
      <c r="E249" s="31"/>
      <c r="G249" s="31"/>
      <c r="J249" s="32"/>
      <c r="K249" s="32"/>
      <c r="L249" s="35"/>
      <c r="M249" s="35"/>
      <c r="N249" s="35"/>
      <c r="O249" s="35"/>
      <c r="P249" s="35"/>
    </row>
    <row r="250" spans="1:16">
      <c r="A250" s="31"/>
      <c r="B250" s="31"/>
      <c r="C250" s="31"/>
      <c r="D250" s="31"/>
      <c r="E250" s="31"/>
      <c r="G250" s="31"/>
      <c r="J250" s="32"/>
      <c r="K250" s="32"/>
      <c r="L250" s="35"/>
      <c r="M250" s="35"/>
      <c r="N250" s="35"/>
      <c r="O250" s="35"/>
      <c r="P250" s="35"/>
    </row>
    <row r="251" spans="1:16">
      <c r="A251" s="31"/>
      <c r="B251" s="31"/>
      <c r="C251" s="31"/>
      <c r="D251" s="31"/>
      <c r="E251" s="31"/>
      <c r="G251" s="31"/>
      <c r="J251" s="32"/>
      <c r="K251" s="32"/>
      <c r="L251" s="35"/>
      <c r="M251" s="35"/>
      <c r="N251" s="35"/>
      <c r="O251" s="35"/>
      <c r="P251" s="35"/>
    </row>
    <row r="252" spans="1:16">
      <c r="A252" s="31"/>
      <c r="B252" s="31"/>
      <c r="C252" s="31"/>
      <c r="D252" s="31"/>
      <c r="E252" s="31"/>
      <c r="G252" s="31"/>
      <c r="J252" s="32"/>
      <c r="K252" s="32"/>
      <c r="L252" s="35"/>
      <c r="M252" s="35"/>
      <c r="N252" s="35"/>
      <c r="O252" s="35"/>
      <c r="P252" s="35"/>
    </row>
    <row r="253" spans="1:16">
      <c r="A253" s="31"/>
      <c r="B253" s="31"/>
      <c r="C253" s="31"/>
      <c r="D253" s="31"/>
      <c r="E253" s="31"/>
      <c r="G253" s="31"/>
      <c r="J253" s="32"/>
      <c r="K253" s="32"/>
      <c r="L253" s="35"/>
      <c r="M253" s="35"/>
      <c r="N253" s="35"/>
      <c r="O253" s="35"/>
      <c r="P253" s="35"/>
    </row>
    <row r="254" spans="1:16">
      <c r="A254" s="31"/>
      <c r="B254" s="31"/>
      <c r="C254" s="31"/>
      <c r="D254" s="31"/>
      <c r="E254" s="31"/>
      <c r="G254" s="31"/>
      <c r="J254" s="32"/>
      <c r="K254" s="32"/>
      <c r="L254" s="35"/>
      <c r="M254" s="35"/>
      <c r="N254" s="35"/>
      <c r="O254" s="35"/>
      <c r="P254" s="35"/>
    </row>
    <row r="255" spans="1:16">
      <c r="A255" s="31"/>
      <c r="B255" s="31"/>
      <c r="C255" s="31"/>
      <c r="D255" s="31"/>
      <c r="E255" s="31"/>
      <c r="G255" s="31"/>
      <c r="J255" s="32"/>
      <c r="K255" s="32"/>
      <c r="L255" s="35"/>
      <c r="M255" s="35"/>
      <c r="N255" s="35"/>
      <c r="O255" s="35"/>
      <c r="P255" s="35"/>
    </row>
    <row r="256" spans="1:16">
      <c r="A256" s="31"/>
      <c r="B256" s="31"/>
      <c r="C256" s="31"/>
      <c r="D256" s="31"/>
      <c r="E256" s="31"/>
      <c r="G256" s="31"/>
      <c r="J256" s="32"/>
      <c r="K256" s="32"/>
      <c r="L256" s="35"/>
      <c r="M256" s="35"/>
      <c r="N256" s="35"/>
      <c r="O256" s="35"/>
      <c r="P256" s="35"/>
    </row>
    <row r="257" spans="1:16">
      <c r="A257" s="31"/>
      <c r="B257" s="31"/>
      <c r="C257" s="31"/>
      <c r="D257" s="31"/>
      <c r="E257" s="31"/>
      <c r="G257" s="31"/>
      <c r="J257" s="32"/>
      <c r="K257" s="32"/>
      <c r="L257" s="35"/>
      <c r="M257" s="35"/>
      <c r="N257" s="35"/>
      <c r="O257" s="35"/>
      <c r="P257" s="35"/>
    </row>
    <row r="258" spans="1:16">
      <c r="A258" s="31"/>
      <c r="B258" s="31"/>
      <c r="C258" s="31"/>
      <c r="D258" s="31"/>
      <c r="E258" s="31"/>
      <c r="G258" s="31"/>
      <c r="J258" s="32"/>
      <c r="K258" s="32"/>
      <c r="L258" s="35"/>
      <c r="M258" s="35"/>
      <c r="N258" s="35"/>
      <c r="O258" s="35"/>
      <c r="P258" s="35"/>
    </row>
    <row r="259" spans="1:16">
      <c r="A259" s="31"/>
      <c r="B259" s="31"/>
      <c r="C259" s="31"/>
      <c r="D259" s="31"/>
      <c r="E259" s="31"/>
      <c r="G259" s="31"/>
      <c r="J259" s="32"/>
      <c r="K259" s="32"/>
      <c r="L259" s="35"/>
      <c r="M259" s="35"/>
      <c r="N259" s="35"/>
      <c r="O259" s="35"/>
      <c r="P259" s="35"/>
    </row>
    <row r="260" spans="1:16">
      <c r="A260" s="31"/>
      <c r="B260" s="31"/>
      <c r="C260" s="31"/>
      <c r="D260" s="31"/>
      <c r="E260" s="31"/>
      <c r="G260" s="31"/>
      <c r="J260" s="32"/>
      <c r="K260" s="32"/>
      <c r="L260" s="35"/>
      <c r="M260" s="35"/>
      <c r="N260" s="35"/>
      <c r="O260" s="35"/>
      <c r="P260" s="35"/>
    </row>
    <row r="261" spans="1:16">
      <c r="A261" s="31"/>
      <c r="B261" s="31"/>
      <c r="C261" s="31"/>
      <c r="D261" s="31"/>
      <c r="E261" s="31"/>
      <c r="G261" s="31"/>
      <c r="J261" s="32"/>
      <c r="K261" s="32"/>
      <c r="L261" s="35"/>
      <c r="M261" s="35"/>
      <c r="N261" s="35"/>
      <c r="O261" s="35"/>
      <c r="P261" s="35"/>
    </row>
    <row r="262" spans="1:16">
      <c r="A262" s="31"/>
      <c r="B262" s="31"/>
      <c r="C262" s="31"/>
      <c r="D262" s="31"/>
      <c r="E262" s="31"/>
      <c r="G262" s="31"/>
      <c r="J262" s="32"/>
      <c r="K262" s="32"/>
      <c r="L262" s="35"/>
      <c r="M262" s="35"/>
      <c r="N262" s="35"/>
      <c r="O262" s="35"/>
      <c r="P262" s="35"/>
    </row>
    <row r="263" spans="1:16">
      <c r="A263" s="31"/>
      <c r="B263" s="31"/>
      <c r="C263" s="31"/>
      <c r="D263" s="31"/>
      <c r="E263" s="31"/>
      <c r="G263" s="31"/>
      <c r="J263" s="32"/>
      <c r="K263" s="32"/>
      <c r="L263" s="35"/>
      <c r="M263" s="35"/>
      <c r="N263" s="35"/>
      <c r="O263" s="35"/>
      <c r="P263" s="35"/>
    </row>
    <row r="264" spans="1:16">
      <c r="A264" s="31"/>
      <c r="B264" s="31"/>
      <c r="C264" s="31"/>
      <c r="D264" s="31"/>
      <c r="E264" s="31"/>
      <c r="G264" s="31"/>
      <c r="J264" s="32"/>
      <c r="K264" s="32"/>
      <c r="L264" s="35"/>
      <c r="M264" s="35"/>
      <c r="N264" s="35"/>
      <c r="O264" s="35"/>
      <c r="P264" s="35"/>
    </row>
    <row r="265" spans="1:16">
      <c r="A265" s="31"/>
      <c r="B265" s="31"/>
      <c r="C265" s="31"/>
      <c r="D265" s="31"/>
      <c r="E265" s="31"/>
      <c r="G265" s="31"/>
      <c r="J265" s="32"/>
      <c r="K265" s="32"/>
      <c r="L265" s="35"/>
      <c r="M265" s="35"/>
      <c r="N265" s="35"/>
      <c r="O265" s="35"/>
      <c r="P265" s="35"/>
    </row>
    <row r="266" spans="1:16">
      <c r="A266" s="31"/>
      <c r="B266" s="31"/>
      <c r="C266" s="31"/>
      <c r="D266" s="31"/>
      <c r="E266" s="31"/>
      <c r="G266" s="31"/>
      <c r="J266" s="32"/>
      <c r="K266" s="32"/>
      <c r="L266" s="35"/>
      <c r="M266" s="35"/>
      <c r="N266" s="35"/>
      <c r="O266" s="35"/>
      <c r="P266" s="35"/>
    </row>
    <row r="267" spans="1:16">
      <c r="A267" s="31"/>
      <c r="B267" s="31"/>
      <c r="C267" s="31"/>
      <c r="D267" s="31"/>
      <c r="E267" s="31"/>
      <c r="G267" s="31"/>
      <c r="J267" s="32"/>
      <c r="K267" s="32"/>
      <c r="L267" s="35"/>
      <c r="M267" s="35"/>
      <c r="N267" s="35"/>
      <c r="O267" s="35"/>
      <c r="P267" s="35"/>
    </row>
    <row r="268" spans="1:16">
      <c r="A268" s="31"/>
      <c r="B268" s="31"/>
      <c r="C268" s="31"/>
      <c r="D268" s="31"/>
      <c r="E268" s="31"/>
      <c r="G268" s="31"/>
      <c r="J268" s="32"/>
      <c r="K268" s="32"/>
      <c r="L268" s="35"/>
      <c r="M268" s="35"/>
      <c r="N268" s="35"/>
      <c r="O268" s="35"/>
      <c r="P268" s="35"/>
    </row>
    <row r="269" spans="1:16">
      <c r="A269" s="31"/>
      <c r="B269" s="31"/>
      <c r="C269" s="31"/>
      <c r="D269" s="31"/>
      <c r="E269" s="31"/>
      <c r="G269" s="31"/>
      <c r="J269" s="32"/>
      <c r="K269" s="32"/>
      <c r="L269" s="35"/>
      <c r="M269" s="35"/>
      <c r="N269" s="35"/>
      <c r="O269" s="35"/>
      <c r="P269" s="35"/>
    </row>
    <row r="270" spans="1:16">
      <c r="A270" s="31"/>
      <c r="B270" s="31"/>
      <c r="C270" s="31"/>
      <c r="D270" s="31"/>
      <c r="E270" s="31"/>
      <c r="G270" s="31"/>
      <c r="J270" s="32"/>
      <c r="K270" s="32"/>
      <c r="L270" s="35"/>
      <c r="M270" s="35"/>
      <c r="N270" s="35"/>
      <c r="O270" s="35"/>
      <c r="P270" s="35"/>
    </row>
    <row r="271" spans="1:16">
      <c r="A271" s="31"/>
      <c r="B271" s="31"/>
      <c r="C271" s="31"/>
      <c r="D271" s="31"/>
      <c r="E271" s="31"/>
      <c r="G271" s="31"/>
      <c r="J271" s="32"/>
      <c r="K271" s="32"/>
      <c r="L271" s="35"/>
      <c r="M271" s="35"/>
      <c r="N271" s="35"/>
      <c r="O271" s="35"/>
      <c r="P271" s="35"/>
    </row>
    <row r="272" spans="1:16">
      <c r="A272" s="31"/>
      <c r="B272" s="31"/>
      <c r="C272" s="31"/>
      <c r="D272" s="31"/>
      <c r="E272" s="31"/>
      <c r="G272" s="31"/>
      <c r="J272" s="32"/>
      <c r="K272" s="32"/>
      <c r="L272" s="35"/>
      <c r="M272" s="35"/>
      <c r="N272" s="35"/>
      <c r="O272" s="35"/>
      <c r="P272" s="35"/>
    </row>
    <row r="273" spans="1:16">
      <c r="A273" s="31"/>
      <c r="B273" s="31"/>
      <c r="C273" s="31"/>
      <c r="D273" s="31"/>
      <c r="E273" s="31"/>
      <c r="G273" s="31"/>
      <c r="J273" s="32"/>
      <c r="K273" s="32"/>
      <c r="L273" s="35"/>
      <c r="M273" s="35"/>
      <c r="N273" s="35"/>
      <c r="O273" s="35"/>
      <c r="P273" s="35"/>
    </row>
    <row r="274" spans="1:16">
      <c r="A274" s="31"/>
      <c r="B274" s="31"/>
      <c r="C274" s="31"/>
      <c r="D274" s="31"/>
      <c r="E274" s="31"/>
      <c r="G274" s="31"/>
      <c r="J274" s="32"/>
      <c r="K274" s="32"/>
      <c r="L274" s="35"/>
      <c r="M274" s="35"/>
      <c r="N274" s="35"/>
      <c r="O274" s="35"/>
      <c r="P274" s="35"/>
    </row>
    <row r="275" spans="1:16">
      <c r="A275" s="31"/>
      <c r="B275" s="31"/>
      <c r="C275" s="31"/>
      <c r="D275" s="31"/>
      <c r="E275" s="31"/>
      <c r="G275" s="31"/>
      <c r="J275" s="32"/>
      <c r="K275" s="32"/>
      <c r="L275" s="35"/>
      <c r="M275" s="35"/>
      <c r="N275" s="35"/>
      <c r="O275" s="35"/>
      <c r="P275" s="35"/>
    </row>
    <row r="276" spans="1:16">
      <c r="A276" s="31"/>
      <c r="B276" s="31"/>
      <c r="C276" s="31"/>
      <c r="D276" s="31"/>
      <c r="E276" s="31"/>
      <c r="G276" s="31"/>
      <c r="J276" s="32"/>
      <c r="K276" s="32"/>
      <c r="L276" s="35"/>
      <c r="M276" s="35"/>
      <c r="N276" s="35"/>
      <c r="O276" s="35"/>
      <c r="P276" s="35"/>
    </row>
    <row r="277" spans="1:16">
      <c r="A277" s="31"/>
      <c r="B277" s="31"/>
      <c r="C277" s="31"/>
      <c r="D277" s="31"/>
      <c r="E277" s="31"/>
      <c r="G277" s="31"/>
      <c r="J277" s="32"/>
      <c r="K277" s="32"/>
      <c r="L277" s="35"/>
      <c r="M277" s="35"/>
      <c r="N277" s="35"/>
      <c r="O277" s="35"/>
      <c r="P277" s="35"/>
    </row>
    <row r="278" spans="1:16">
      <c r="A278" s="31"/>
      <c r="B278" s="31"/>
      <c r="C278" s="31"/>
      <c r="D278" s="31"/>
      <c r="E278" s="31"/>
      <c r="G278" s="31"/>
      <c r="J278" s="32"/>
      <c r="K278" s="32"/>
      <c r="L278" s="35"/>
      <c r="M278" s="35"/>
      <c r="N278" s="35"/>
      <c r="O278" s="35"/>
      <c r="P278" s="35"/>
    </row>
    <row r="279" spans="1:16">
      <c r="A279" s="31"/>
      <c r="B279" s="31"/>
      <c r="C279" s="31"/>
      <c r="D279" s="31"/>
      <c r="E279" s="31"/>
      <c r="G279" s="31"/>
      <c r="J279" s="32"/>
      <c r="K279" s="32"/>
      <c r="L279" s="35"/>
      <c r="M279" s="35"/>
      <c r="N279" s="35"/>
      <c r="O279" s="35"/>
      <c r="P279" s="35"/>
    </row>
    <row r="280" spans="1:16">
      <c r="A280" s="31"/>
      <c r="B280" s="31"/>
      <c r="C280" s="31"/>
      <c r="D280" s="31"/>
      <c r="E280" s="31"/>
      <c r="G280" s="31"/>
      <c r="J280" s="32"/>
      <c r="K280" s="32"/>
      <c r="L280" s="35"/>
      <c r="M280" s="35"/>
      <c r="N280" s="35"/>
      <c r="O280" s="35"/>
      <c r="P280" s="35"/>
    </row>
    <row r="281" spans="1:16">
      <c r="A281" s="31"/>
      <c r="B281" s="31"/>
      <c r="C281" s="31"/>
      <c r="D281" s="31"/>
      <c r="E281" s="31"/>
      <c r="G281" s="31"/>
      <c r="J281" s="32"/>
      <c r="K281" s="32"/>
      <c r="L281" s="35"/>
      <c r="M281" s="35"/>
      <c r="N281" s="35"/>
      <c r="O281" s="35"/>
      <c r="P281" s="35"/>
    </row>
    <row r="282" spans="1:16">
      <c r="A282" s="31"/>
      <c r="B282" s="31"/>
      <c r="C282" s="31"/>
      <c r="D282" s="31"/>
      <c r="E282" s="31"/>
      <c r="G282" s="31"/>
      <c r="J282" s="32"/>
      <c r="K282" s="32"/>
      <c r="L282" s="35"/>
      <c r="M282" s="35"/>
      <c r="N282" s="35"/>
      <c r="O282" s="35"/>
      <c r="P282" s="35"/>
    </row>
    <row r="283" spans="1:16">
      <c r="A283" s="31"/>
      <c r="B283" s="31"/>
      <c r="C283" s="31"/>
      <c r="D283" s="31"/>
      <c r="E283" s="31"/>
      <c r="G283" s="31"/>
      <c r="J283" s="32"/>
      <c r="K283" s="32"/>
      <c r="L283" s="35"/>
      <c r="M283" s="35"/>
      <c r="N283" s="35"/>
      <c r="O283" s="35"/>
      <c r="P283" s="35"/>
    </row>
    <row r="284" spans="1:16">
      <c r="A284" s="31"/>
      <c r="B284" s="31"/>
      <c r="C284" s="31"/>
      <c r="D284" s="31"/>
      <c r="E284" s="31"/>
      <c r="G284" s="31"/>
      <c r="J284" s="32"/>
      <c r="K284" s="32"/>
      <c r="L284" s="35"/>
      <c r="M284" s="35"/>
      <c r="N284" s="35"/>
      <c r="O284" s="35"/>
      <c r="P284" s="35"/>
    </row>
    <row r="285" spans="1:16">
      <c r="A285" s="31"/>
      <c r="B285" s="31"/>
      <c r="C285" s="31"/>
      <c r="D285" s="31"/>
      <c r="E285" s="31"/>
      <c r="G285" s="31"/>
      <c r="J285" s="32"/>
      <c r="K285" s="32"/>
      <c r="L285" s="35"/>
      <c r="M285" s="35"/>
      <c r="N285" s="35"/>
      <c r="O285" s="35"/>
      <c r="P285" s="35"/>
    </row>
    <row r="286" spans="1:16">
      <c r="A286" s="31"/>
      <c r="B286" s="31"/>
      <c r="C286" s="31"/>
      <c r="D286" s="31"/>
      <c r="E286" s="31"/>
      <c r="G286" s="31"/>
      <c r="J286" s="32"/>
      <c r="K286" s="32"/>
      <c r="L286" s="35"/>
      <c r="M286" s="35"/>
      <c r="N286" s="35"/>
      <c r="O286" s="35"/>
      <c r="P286" s="35"/>
    </row>
    <row r="287" spans="1:16">
      <c r="A287" s="31"/>
      <c r="B287" s="31"/>
      <c r="C287" s="31"/>
      <c r="D287" s="31"/>
      <c r="E287" s="31"/>
      <c r="G287" s="31"/>
      <c r="J287" s="32"/>
      <c r="K287" s="32"/>
      <c r="L287" s="35"/>
      <c r="M287" s="35"/>
      <c r="N287" s="35"/>
      <c r="O287" s="35"/>
      <c r="P287" s="35"/>
    </row>
    <row r="288" spans="1:16">
      <c r="A288" s="31"/>
      <c r="B288" s="31"/>
      <c r="C288" s="31"/>
      <c r="D288" s="31"/>
      <c r="E288" s="31"/>
      <c r="G288" s="31"/>
      <c r="J288" s="32"/>
      <c r="K288" s="32"/>
      <c r="L288" s="35"/>
      <c r="M288" s="35"/>
      <c r="N288" s="35"/>
      <c r="O288" s="35"/>
      <c r="P288" s="35"/>
    </row>
    <row r="289" spans="1:16">
      <c r="A289" s="31"/>
      <c r="B289" s="31"/>
      <c r="C289" s="31"/>
      <c r="D289" s="31"/>
      <c r="E289" s="31"/>
      <c r="G289" s="31"/>
      <c r="J289" s="32"/>
      <c r="K289" s="32"/>
      <c r="L289" s="35"/>
      <c r="M289" s="35"/>
      <c r="N289" s="35"/>
      <c r="O289" s="35"/>
      <c r="P289" s="35"/>
    </row>
    <row r="290" spans="1:16">
      <c r="A290" s="31"/>
      <c r="B290" s="31"/>
      <c r="C290" s="31"/>
      <c r="D290" s="31"/>
      <c r="E290" s="31"/>
      <c r="G290" s="31"/>
      <c r="J290" s="32"/>
      <c r="K290" s="32"/>
      <c r="L290" s="35"/>
      <c r="M290" s="35"/>
      <c r="N290" s="35"/>
      <c r="O290" s="35"/>
      <c r="P290" s="35"/>
    </row>
    <row r="291" spans="1:16">
      <c r="A291" s="31"/>
      <c r="B291" s="31"/>
      <c r="C291" s="31"/>
      <c r="D291" s="31"/>
      <c r="E291" s="31"/>
      <c r="G291" s="31"/>
      <c r="J291" s="32"/>
      <c r="K291" s="32"/>
      <c r="L291" s="35"/>
      <c r="M291" s="35"/>
      <c r="N291" s="35"/>
      <c r="O291" s="35"/>
      <c r="P291" s="35"/>
    </row>
    <row r="292" spans="1:16">
      <c r="A292" s="31"/>
      <c r="B292" s="31"/>
      <c r="C292" s="31"/>
      <c r="D292" s="31"/>
      <c r="E292" s="31"/>
      <c r="G292" s="31"/>
      <c r="J292" s="32"/>
      <c r="K292" s="32"/>
      <c r="L292" s="35"/>
      <c r="M292" s="35"/>
      <c r="N292" s="35"/>
      <c r="O292" s="35"/>
      <c r="P292" s="35"/>
    </row>
    <row r="293" spans="1:16">
      <c r="A293" s="31"/>
      <c r="B293" s="31"/>
      <c r="C293" s="31"/>
      <c r="D293" s="31"/>
      <c r="E293" s="31"/>
      <c r="G293" s="31"/>
      <c r="J293" s="32"/>
      <c r="K293" s="32"/>
      <c r="L293" s="35"/>
      <c r="M293" s="35"/>
      <c r="N293" s="35"/>
      <c r="O293" s="35"/>
      <c r="P293" s="35"/>
    </row>
    <row r="294" spans="1:16">
      <c r="A294" s="31"/>
      <c r="B294" s="31"/>
      <c r="C294" s="31"/>
      <c r="D294" s="31"/>
      <c r="E294" s="31"/>
      <c r="G294" s="31"/>
      <c r="J294" s="32"/>
      <c r="K294" s="32"/>
      <c r="L294" s="35"/>
      <c r="M294" s="35"/>
      <c r="N294" s="35"/>
      <c r="O294" s="35"/>
      <c r="P294" s="35"/>
    </row>
    <row r="295" spans="1:16">
      <c r="A295" s="31"/>
      <c r="B295" s="31"/>
      <c r="C295" s="31"/>
      <c r="D295" s="31"/>
      <c r="E295" s="31"/>
      <c r="G295" s="31"/>
      <c r="J295" s="32"/>
      <c r="K295" s="32"/>
      <c r="L295" s="35"/>
      <c r="M295" s="35"/>
      <c r="N295" s="35"/>
      <c r="O295" s="35"/>
      <c r="P295" s="35"/>
    </row>
    <row r="296" spans="1:16">
      <c r="A296" s="31"/>
      <c r="B296" s="31"/>
      <c r="C296" s="31"/>
      <c r="D296" s="31"/>
      <c r="E296" s="31"/>
      <c r="G296" s="31"/>
      <c r="J296" s="32"/>
      <c r="K296" s="32"/>
      <c r="L296" s="35"/>
      <c r="M296" s="35"/>
      <c r="N296" s="35"/>
      <c r="O296" s="35"/>
      <c r="P296" s="35"/>
    </row>
    <row r="297" spans="1:16">
      <c r="A297" s="31"/>
      <c r="B297" s="31"/>
      <c r="C297" s="31"/>
      <c r="D297" s="31"/>
      <c r="E297" s="31"/>
      <c r="G297" s="31"/>
      <c r="J297" s="32"/>
      <c r="K297" s="32"/>
      <c r="L297" s="35"/>
      <c r="M297" s="35"/>
      <c r="N297" s="35"/>
      <c r="O297" s="35"/>
      <c r="P297" s="35"/>
    </row>
    <row r="298" spans="1:16">
      <c r="A298" s="31"/>
      <c r="B298" s="31"/>
      <c r="C298" s="31"/>
      <c r="D298" s="31"/>
      <c r="E298" s="31"/>
      <c r="G298" s="31"/>
      <c r="J298" s="32"/>
      <c r="K298" s="32"/>
      <c r="L298" s="35"/>
      <c r="M298" s="35"/>
      <c r="N298" s="35"/>
      <c r="O298" s="35"/>
      <c r="P298" s="35"/>
    </row>
    <row r="299" spans="1:16">
      <c r="A299" s="31"/>
      <c r="B299" s="31"/>
      <c r="C299" s="31"/>
      <c r="D299" s="31"/>
      <c r="E299" s="31"/>
      <c r="G299" s="31"/>
      <c r="J299" s="32"/>
      <c r="K299" s="32"/>
      <c r="L299" s="35"/>
      <c r="M299" s="35"/>
      <c r="N299" s="35"/>
      <c r="O299" s="35"/>
      <c r="P299" s="35"/>
    </row>
    <row r="300" spans="1:16">
      <c r="A300" s="31"/>
      <c r="B300" s="31"/>
      <c r="C300" s="31"/>
      <c r="D300" s="31"/>
      <c r="E300" s="31"/>
      <c r="G300" s="31"/>
      <c r="J300" s="32"/>
      <c r="K300" s="32"/>
      <c r="L300" s="35"/>
      <c r="M300" s="35"/>
      <c r="N300" s="35"/>
      <c r="O300" s="35"/>
      <c r="P300" s="35"/>
    </row>
    <row r="301" spans="1:16">
      <c r="A301" s="2"/>
      <c r="B301" s="2"/>
    </row>
    <row r="302" spans="1:16">
      <c r="A302" s="2"/>
      <c r="B302" s="2"/>
    </row>
    <row r="303" spans="1:16">
      <c r="A303" s="2"/>
      <c r="B303" s="2"/>
    </row>
    <row r="304" spans="1:16">
      <c r="A304" s="2"/>
      <c r="B304" s="2"/>
    </row>
    <row r="305" s="2" customFormat="1"/>
  </sheetData>
  <autoFilter ref="A9:I207" xr:uid="{40A4B7A3-F207-4AF4-8579-95FFC9A7072F}"/>
  <dataConsolidate/>
  <mergeCells count="1">
    <mergeCell ref="A2:B2"/>
  </mergeCells>
  <conditionalFormatting sqref="D10:D11">
    <cfRule type="cellIs" dxfId="40" priority="222" operator="equal">
      <formula>"Fulfilled"</formula>
    </cfRule>
    <cfRule type="cellIs" dxfId="39" priority="223" operator="equal">
      <formula>"Not verified"</formula>
    </cfRule>
    <cfRule type="cellIs" dxfId="38" priority="224" operator="equal">
      <formula>"Fullfilled"</formula>
    </cfRule>
    <cfRule type="cellIs" dxfId="37" priority="225" operator="equal">
      <formula>"N/A"</formula>
    </cfRule>
    <cfRule type="cellIs" dxfId="36" priority="226" operator="equal">
      <formula>"Open"</formula>
    </cfRule>
  </conditionalFormatting>
  <conditionalFormatting sqref="D26:D27">
    <cfRule type="cellIs" dxfId="35" priority="47" operator="equal">
      <formula>"Fulfilled"</formula>
    </cfRule>
    <cfRule type="cellIs" dxfId="34" priority="48" operator="equal">
      <formula>"Not verified"</formula>
    </cfRule>
    <cfRule type="cellIs" dxfId="33" priority="49" operator="equal">
      <formula>"Fullfilled"</formula>
    </cfRule>
    <cfRule type="cellIs" dxfId="32" priority="50" operator="equal">
      <formula>"N/A"</formula>
    </cfRule>
    <cfRule type="cellIs" dxfId="31" priority="51" operator="equal">
      <formula>"Open"</formula>
    </cfRule>
  </conditionalFormatting>
  <conditionalFormatting sqref="D25">
    <cfRule type="cellIs" dxfId="30" priority="42" operator="equal">
      <formula>"Fulfilled"</formula>
    </cfRule>
    <cfRule type="cellIs" dxfId="29" priority="43" operator="equal">
      <formula>"Not verified"</formula>
    </cfRule>
    <cfRule type="cellIs" dxfId="28" priority="44" operator="equal">
      <formula>"Fullfilled"</formula>
    </cfRule>
    <cfRule type="cellIs" dxfId="27" priority="45" operator="equal">
      <formula>"N/A"</formula>
    </cfRule>
    <cfRule type="cellIs" dxfId="26" priority="46" operator="equal">
      <formula>"Open"</formula>
    </cfRule>
  </conditionalFormatting>
  <conditionalFormatting sqref="H62:I311 G62:G300 J62:P300 G12:P60 F12:F300 C12:E12 B13:E29 C30:E33 B34:E35 A36:E57 B58:E60 C62:E67 B63:B70 A58:A72 A68:E300">
    <cfRule type="expression" dxfId="25" priority="38">
      <formula>($A12&lt;&gt;$A13)</formula>
    </cfRule>
    <cfRule type="expression" dxfId="24" priority="39">
      <formula>($A12&lt;&gt;"")</formula>
    </cfRule>
  </conditionalFormatting>
  <conditionalFormatting sqref="L8:P8">
    <cfRule type="dataBar" priority="13">
      <dataBar showValue="0">
        <cfvo type="min"/>
        <cfvo type="max"/>
        <color rgb="FF63C384"/>
      </dataBar>
      <extLst>
        <ext xmlns:x14="http://schemas.microsoft.com/office/spreadsheetml/2009/9/main" uri="{B025F937-C7B1-47D3-B67F-A62EFF666E3E}">
          <x14:id>{9539AB88-4F2A-4CB7-BCCB-E840D31820E2}</x14:id>
        </ext>
      </extLst>
    </cfRule>
  </conditionalFormatting>
  <conditionalFormatting sqref="B61:E61 G61:P61">
    <cfRule type="expression" dxfId="23" priority="231">
      <formula>($A61&lt;&gt;#REF!)</formula>
    </cfRule>
    <cfRule type="expression" dxfId="22" priority="232">
      <formula>($A61&lt;&gt;"")</formula>
    </cfRule>
  </conditionalFormatting>
  <conditionalFormatting sqref="F61">
    <cfRule type="expression" dxfId="21" priority="257">
      <formula>($A61&lt;&gt;#REF!)</formula>
    </cfRule>
    <cfRule type="expression" dxfId="20" priority="258">
      <formula>($A61&lt;&gt;"")</formula>
    </cfRule>
  </conditionalFormatting>
  <conditionalFormatting sqref="A10:P10 B11:P11 A11:A35">
    <cfRule type="expression" dxfId="19" priority="318">
      <formula>($A10&lt;&gt;$A12)</formula>
    </cfRule>
    <cfRule type="expression" dxfId="18" priority="319">
      <formula>($A10&lt;&gt;"")</formula>
    </cfRule>
  </conditionalFormatting>
  <conditionalFormatting sqref="B12">
    <cfRule type="expression" dxfId="17" priority="9">
      <formula>($A12&lt;&gt;$A14)</formula>
    </cfRule>
    <cfRule type="expression" dxfId="16" priority="10">
      <formula>($A12&lt;&gt;"")</formula>
    </cfRule>
  </conditionalFormatting>
  <conditionalFormatting sqref="B30">
    <cfRule type="expression" dxfId="15" priority="7">
      <formula>($A30&lt;&gt;$A32)</formula>
    </cfRule>
    <cfRule type="expression" dxfId="14" priority="8">
      <formula>($A30&lt;&gt;"")</formula>
    </cfRule>
  </conditionalFormatting>
  <conditionalFormatting sqref="B31:B33">
    <cfRule type="expression" dxfId="13" priority="5">
      <formula>($A31&lt;&gt;$A33)</formula>
    </cfRule>
    <cfRule type="expression" dxfId="12" priority="6">
      <formula>($A31&lt;&gt;"")</formula>
    </cfRule>
  </conditionalFormatting>
  <conditionalFormatting sqref="B62">
    <cfRule type="expression" dxfId="11" priority="3">
      <formula>($A62&lt;&gt;#REF!)</formula>
    </cfRule>
    <cfRule type="expression" dxfId="10" priority="4">
      <formula>($A62&lt;&gt;"")</formula>
    </cfRule>
  </conditionalFormatting>
  <hyperlinks>
    <hyperlink ref="H10" r:id="rId1" tooltip="https://azure.microsoft.com/solutions/ai/?WT.mc_id=AZ-MVP-5004796" xr:uid="{93CC6003-CC03-40D7-BA24-12F4BDDEDE73}"/>
    <hyperlink ref="H12" r:id="rId2" tooltip="https://learn.microsoft.com/azure/cloud-adoption-framework/strategy/business-outcomes/?WT.mc_id=AZ-MVP-5004796" xr:uid="{6E96513F-7B8D-4B3B-8C8A-BA5E92684F95}"/>
    <hyperlink ref="H13" r:id="rId3" tooltip="https://learn.microsoft.com/azure/architecture/guide/design-principles/build-for-business?WT.mc_id=AZ-MVP-5004796" xr:uid="{BA73BAF3-B8D4-477D-A628-B29D5A8B9FA6}"/>
    <hyperlink ref="H15" r:id="rId4" tooltip="https://learn.microsoft.com/azure/architecture/framework/resiliency/design-requirements?WT.mc_id=AZ-MVP-5004796" xr:uid="{A0442527-A2BA-47D2-8BF0-0B0F2F9E2B9B}"/>
    <hyperlink ref="H17" r:id="rId5" tooltip="https://learn.microsoft.com/azure/architecture/guide/?WT.mc_id=AZ-MVP-5004796" xr:uid="{9D221A04-5526-414D-A6C5-DBCD7181DDD2}"/>
    <hyperlink ref="H19" r:id="rId6" tooltip="https://partner.microsoft.com/en-US/?WT.mc_id=AZ-MVP-5004796" xr:uid="{4A8AFEB5-D568-4D3E-9BDE-6512438FF7FD}"/>
    <hyperlink ref="H20" r:id="rId7" tooltip="https://azure.microsoft.com/products/?WT.mc_id=AZ-MVP-5004796" xr:uid="{E5FE702E-E08D-4718-989D-054531526EF2}"/>
    <hyperlink ref="H22" r:id="rId8" tooltip="https://learn.microsoft.com/azure/architecture/serverless-quest/poc-pilot?WT.mc_id=AZ-MVP-5004796" xr:uid="{E927A381-5BA2-4E6B-B9DD-77269C5A9CE5}"/>
    <hyperlink ref="H23" r:id="rId9" tooltip="https://azure.microsoft.com/?WT.mc_id=AZ-MVP-5004796" xr:uid="{422908ED-2285-48B1-A1E4-BDD2A974E0D5}"/>
    <hyperlink ref="H24" r:id="rId10" tooltip="https://azure.microsoft.com/explore/?WT.mc_id=AZ-MVP-5004796" xr:uid="{C16C262F-ED25-4A33-9C64-AF7F6AD00880}"/>
    <hyperlink ref="H25" r:id="rId11" tooltip="https://azure.microsoft.com/products/?WT.mc_id=AZ-MVP-5004796" xr:uid="{0CEC9985-B462-4FAD-9EFF-C2DD63A1ADA3}"/>
    <hyperlink ref="H26" r:id="rId12" tooltip="https://azuremarketplace.microsoft.com/marketplace/consulting-services?exp=ubp8" xr:uid="{9D26BB3C-C3AA-45A2-985E-F3BD71AC6B31}"/>
    <hyperlink ref="H27" r:id="rId13" tooltip="https://partner.microsoft.com/" xr:uid="{9116CF9B-39C8-4EDE-872C-2677A3EFFF20}"/>
    <hyperlink ref="H29" r:id="rId14" tooltip="https://partner.microsoft.com/" xr:uid="{088574A1-6062-47D3-B076-47B35B275C86}"/>
    <hyperlink ref="H31" r:id="rId15" tooltip="https://learn.microsoft.com/azure/lighthouse/overview?WT.mc_id=AZ-MVP-5004796" xr:uid="{20DEBD46-0190-4849-A747-B8EB80FB851E}"/>
    <hyperlink ref="H34" r:id="rId16" tooltip="https://azure.microsoft.com/solutions/industries/?WT.mc_id=AZ-MVP-5004796" xr:uid="{D09A8AE1-27EB-40A5-AEE6-BF93C6194D8E}"/>
    <hyperlink ref="H36" r:id="rId17" tooltip="https://learn.microsoft.com/compliance/?WT.mc_id=AZ-MVP-5004796" xr:uid="{39CA6667-2069-4BCA-AB63-120EA7A9FAE7}"/>
    <hyperlink ref="H37" r:id="rId18" tooltip="https://learn.microsoft.com/compliance/regulatory/offering-home?WT.mc_id=AZ-MVP-5004796" xr:uid="{4CC033EB-600A-4BE3-8FCE-4F80B5F8B2A6}"/>
    <hyperlink ref="H38" r:id="rId19" location="overview" tooltip="https://azure.microsoft.com/explore/global-infrastructure/geographies/?WT.mc_id=AZ-MVP-5004796#overview" xr:uid="{5C5A5853-47E1-4A14-AF55-BE39546DC3A1}"/>
    <hyperlink ref="H40" r:id="rId20" tooltip="https://azure.microsoft.com/pricing/tco/?WT.mc_id=AZ-MVP-5004796" xr:uid="{21990D78-00A5-4200-A26C-89DE295A705F}"/>
    <hyperlink ref="H41" r:id="rId21" tooltip="https://azure.microsoft.com/pricing/tco/?WT.mc_id=AZ-MVP-5004796" xr:uid="{10EE2856-DC31-4AC9-ABDA-B7BEECC6D56B}"/>
    <hyperlink ref="H45" r:id="rId22" tooltip="https://learn.microsoft.com/azure/architecture/guide/multitenant/overview?WT.mc_id=AZ-MVP-5004796" xr:uid="{7ADEC31E-1B29-4E09-A71D-FF94B66C84A4}"/>
    <hyperlink ref="H49" r:id="rId23" tooltip="https://appsource.microsoft.com/marketplace/partner-dir" xr:uid="{1E894BA2-AB24-4E6F-83FB-52593C2C6BE7}"/>
    <hyperlink ref="H51" r:id="rId24" tooltip="https://www.gartner.com/reviews/market/cloud-infrastructure-and-platform-services/vendor/microsoft/product/azure" xr:uid="{DEECECE9-7472-420E-8640-E61E6BB765E9}"/>
    <hyperlink ref="I10" r:id="rId25" tooltip="https://learn.microsoft.com/certifications/azure-ai-engineer/?WT.mc_id=AZ-MVP-5004796" xr:uid="{43D90540-B3C5-4CC4-8F0E-1C4027A09088}"/>
    <hyperlink ref="I12" r:id="rId26" tooltip="https://learn.microsoft.com/azure/cloud-adoption-framework/strategy/business-outcomes/business-outcome-template?WT.mc_id=AZ-MVP-5004796" xr:uid="{585A5981-5989-4140-97A9-7E8D267BD52F}"/>
    <hyperlink ref="I13" r:id="rId27" tooltip="https://learn.microsoft.com/azure/architecture/framework/resiliency/design-requirements?WT.mc_id=AZ-MVP-5004796" xr:uid="{F1BE46BA-28A7-475D-B261-07D4B624F770}"/>
    <hyperlink ref="I15" r:id="rId28" tooltip="https://learn.microsoft.com/azure/architecture/framework/?WT.mc_id=AZ-MVP-5004796" xr:uid="{7DAA61B4-376E-4DCA-AEF1-910EE62D4E21}"/>
    <hyperlink ref="I20" r:id="rId29" tooltip="https://azure.microsoft.com/resources/cloud-computing-dictionary/what-is-the-cloud?WT.mc_id=AZ-MVP-5004796" xr:uid="{02EA35BF-E322-46ED-9AE3-5FA4D6BA16D0}"/>
    <hyperlink ref="I24" r:id="rId30" tooltip="https://learn.microsoft.com/training/?WT.mc_id=AZ-MVP-5004796" xr:uid="{43DC6E8C-5818-4D19-9A83-8464D64371F9}"/>
    <hyperlink ref="I25" r:id="rId31" tooltip="https://azure.microsoft.com/resources/training-and-certifications/?WT.mc_id=AZ-MVP-5004796" xr:uid="{3A733501-8332-4C4E-8057-BDB0AFD28EB2}"/>
    <hyperlink ref="H11" r:id="rId32" tooltip="https://learn.microsoft.com/azure/cloud-adoption-framework/strategy/motivations?WT.mc_id=AZ-MVP-5004796" xr:uid="{34F96E13-362E-4988-9E7F-7CE70EC57809}"/>
    <hyperlink ref="I11" r:id="rId33" tooltip="https://learn.microsoft.com/azure/cloud-adoption-framework/strategy/?WT.mc_id=AZ-MVP-5004796" xr:uid="{58CC471E-4E6D-48CB-97D7-0638537C14E1}"/>
    <hyperlink ref="H63" r:id="rId34" tooltip="https://azure.microsoft.com/partners/marketplace?WT.mc_id=AZ-MVP-5004796" xr:uid="{D48BB79C-0BA1-4453-AB78-2B6DE1B52FBE}"/>
    <hyperlink ref="H67" r:id="rId35" tooltip="https://azure.microsoft.com/en-au/products/azure-lighthouse/?WT.mc_id=AZ-MVP-5004796" xr:uid="{E50F02C5-3161-49C6-A481-F57E5EBD11B4}"/>
    <hyperlink ref="H73" r:id="rId36" tooltip="https://learn.microsoft.com/azure/active-directory-b2c/?WT.mc_id=AZ-MVP-5004796" xr:uid="{0F91BDEA-5DA1-48EE-85C7-2B7936B62F25}"/>
    <hyperlink ref="H74" r:id="rId37" tooltip="https://learn.microsoft.com/azure/marketplace/marketplace-categories-industries?WT.mc_id=AZ-MVP-5004796" xr:uid="{F6294D88-6AB9-43F8-8FEA-48F8CDCFA429}"/>
    <hyperlink ref="H75" r:id="rId38" tooltip="https://learn.microsoft.com/azure/backup/guidance-best-practices?WT.mc_id=AZ-MVP-5004796" xr:uid="{E28CC38B-0302-4BBC-8128-9F753D03DC20}"/>
    <hyperlink ref="H76" r:id="rId39" tooltip="https://learn.microsoft.com/azure/backup/backup-overview?WT.mc_id=AZ-MVP-5004796" xr:uid="{BFB7D558-9204-45BE-B6B7-E2BE6E669630}"/>
    <hyperlink ref="I81" r:id="rId40" tooltip="https://learn.microsoft.com/certifications/browse/?WT.mc_id=AZ-MVP-5004796" xr:uid="{880701FD-6882-4F41-88A1-2C090E6445BA}"/>
    <hyperlink ref="H84" r:id="rId41" tooltip="https://learn.microsoft.com/azure/cloud-adoption-framework/?WT.mc_id=AZ-MVP-5004796" xr:uid="{C06E921D-732E-4CF1-AF65-B6AB80339811}"/>
    <hyperlink ref="H90" r:id="rId42" tooltip="https://learn.microsoft.com/azure/deployment-environments/?WT.mc_id=AZ-MVP-5004796" xr:uid="{1E9BC163-5C90-432E-914E-A87E3B4BC383}"/>
    <hyperlink ref="H91" r:id="rId43" tooltip="https://azure.microsoft.com/products/devops?WT.mc_id=AZ-MVP-5004796" xr:uid="{46C21CD1-D589-4869-8E9B-78697B1D1C53}"/>
    <hyperlink ref="H92" r:id="rId44" tooltip="https://azure.microsoft.com/products/devops?WT.mc_id=AZ-MVP-5004796" xr:uid="{5F29705F-11BE-4345-8B96-D83C62FA8FDF}"/>
    <hyperlink ref="I92" r:id="rId45" tooltip="https://learn.microsoft.com/azure/devops/pipelines/?view=azure-devops&amp;WT.mc_id=AZ-MVP-5004796" xr:uid="{8FA3D0FE-9E04-4D05-9729-A82F0AB043BC}"/>
    <hyperlink ref="H93" r:id="rId46" tooltip="https://learn.microsoft.com/azure/compliance/?WT.mc_id=AZ-MVP-5004796" xr:uid="{BBA803C3-485F-42B1-B7D9-9E53D27B5E8F}"/>
    <hyperlink ref="H95" r:id="rId47" tooltip="https://learn.microsoft.com/azure/compliance/?WT.mc_id=AZ-MVP-5004796" xr:uid="{EDB42228-4AAD-4039-8A27-FF5E56EB46FC}"/>
    <hyperlink ref="H102" r:id="rId48" tooltip="https://learn.microsoft.com/azure/devops/pipelines/?view=azure-devops&amp;WT.mc_id=AZ-MVP-5004796" xr:uid="{F294BB1F-3088-496C-B78F-D89D21646145}"/>
    <hyperlink ref="H103" r:id="rId49" tooltip="https://learn.microsoft.com/azure/devops/repos/?view=azure-devops&amp;WT.mc_id=AZ-MVP-5004796" xr:uid="{C6CAB591-6091-4DE3-A1EE-A8B5FA50191D}"/>
    <hyperlink ref="H108" r:id="rId50" tooltip="https://learn.microsoft.com/azure/azure-monitor/alerts/itsmc-overview?WT.mc_id=AZ-MVP-5004796" xr:uid="{3F3F9930-23B4-477B-BAD9-7BC2992D60BF}"/>
    <hyperlink ref="H112" r:id="rId51" tooltip="https://learn.microsoft.com/azure/architecture/?WT.mc_id=AZ-MVP-5004796" xr:uid="{3EF23625-853F-45E1-8BD4-30E5211596E5}"/>
    <hyperlink ref="H114" r:id="rId52" tooltip="https://learn.microsoft.com/azure/virtual-network/virtual-networks-udr-overview?WT.mc_id=AZ-MVP-5004796" xr:uid="{D7F6F33D-FAF7-44C1-A2A3-8A59555A6A30}"/>
    <hyperlink ref="H115" r:id="rId53" tooltip="https://learn.microsoft.com/azure/virtual-network/network-security-groups-overview?WT.mc_id=AZ-MVP-5004796" xr:uid="{A23CCFF3-DF01-44AF-AF84-98BD93C49B5C}"/>
    <hyperlink ref="H124" r:id="rId54" tooltip="https://devicecatalog.azure.com/" xr:uid="{B035E440-236D-421B-8BEB-8CAB8A0CE284}"/>
    <hyperlink ref="H127" r:id="rId55" tooltip="https://learn.microsoft.com/azure/digital-twins/overview?WT.mc_id=AZ-MVP-5004796" xr:uid="{399B63C4-021D-4B8C-ACAD-A14F42DEB600}"/>
    <hyperlink ref="H168" r:id="rId56" tooltip="https://learn.microsoft.com/azure/architecture/guide/technology-choices/load-balancing-overview?WT.mc_id=AZ-MVP-5004796" xr:uid="{594CF7D2-23C7-4B0E-8BEB-D28649862B37}"/>
    <hyperlink ref="H169" r:id="rId57" tooltip="https://learn.microsoft.com/azure/architecture/guide/technology-choices/load-balancing-overview?WT.mc_id=AZ-MVP-5004796" xr:uid="{861ACCEE-5E22-4CCA-B10E-70B4FE394333}"/>
    <hyperlink ref="H177" r:id="rId58" tooltip="https://learn.microsoft.com/azure/azure-monitor/logs/data-platform-logs?WT.mc_id=AZ-MVP-5004796" xr:uid="{CAB3B473-8652-4B41-83C1-E1C2272DEF25}"/>
    <hyperlink ref="H179" r:id="rId59" tooltip="https://learn.microsoft.com/azure/azure-monitor/alerts/action-groups?WT.mc_id=AZ-MVP-5004796" xr:uid="{45A5412A-C651-41A7-A657-330CCFE47E52}"/>
    <hyperlink ref="H182" r:id="rId60" tooltip="https://learn.microsoft.com/azure/cloud-adoption-framework/manage/monitor/service-level-objectives?WT.mc_id=AZ-MVP-5004796" xr:uid="{679FE542-3BF1-4D14-B83E-9F531AE74BAB}"/>
    <hyperlink ref="H186" r:id="rId61" tooltip="https://learn.microsoft.com/azure/cloud-adoption-framework/ready/landing-zone/design-area/management-business-continuity-disaster-recovery?WT.mc_id=AZ-MVP-5004796" xr:uid="{DECA4051-038D-417A-A50D-480E9862AC84}"/>
    <hyperlink ref="H188" r:id="rId62" location="overview" tooltip="https://azure.microsoft.com/explore/global-infrastructure/geographies/?WT.mc_id=AZ-MVP-5004796#overview" xr:uid="{D50BF67B-D3C5-4B5F-BD35-FC33BE632BBC}"/>
    <hyperlink ref="H192" r:id="rId63" tooltip="https://learn.microsoft.com/azure/site-recovery/?WT.mc_id=AZ-MVP-5004796" xr:uid="{797CD9EB-F931-486F-B0BF-552C5FE0DF37}"/>
    <hyperlink ref="H196" r:id="rId64" tooltip="https://learn.microsoft.com/azure/azure-monitor/app/app-insights-overview?tabs=net&amp;WT.mc_id=AZ-MVP-5004796" xr:uid="{6B577714-8517-49DB-886C-387B0296DBD7}"/>
    <hyperlink ref="I31" r:id="rId65" tooltip="https://learn.microsoft.com/training/modules/intro-to-azure-lighthouse/?WT.mc_id=AZ-MVP-5004796" xr:uid="{DF16AB75-3E6E-4D64-B6F0-D040832350F7}"/>
    <hyperlink ref="I34" r:id="rId66" tooltip="https://www.microsoft.com/industry?WT.mc_id=AZ-MVP-5004796" xr:uid="{C075E2B3-0CEF-499A-B870-0E18724B49C5}"/>
    <hyperlink ref="H44" r:id="rId67" tooltip="https://azure.microsoft.com/solutions/hybrid-cloud-app/?WT.mc_id=AZ-MVP-5004796" xr:uid="{0E6B87AB-2260-4B3A-9DFB-6865CD5D8A62}"/>
    <hyperlink ref="I54" r:id="rId68" tooltip="https://learn.microsoft.com/azure/active-directory/develop/howto-convert-app-to-be-multi-tenant?WT.mc_id=AZ-MVP-5004796" xr:uid="{C364D6DA-BF6B-4683-ABC1-D5E5730C3640}"/>
    <hyperlink ref="I179" r:id="rId69" tooltip="https://learn.microsoft.com/shows/azure-friday/azure-monitor-action-groups?WT.mc_id=AZ-MVP-5004796" xr:uid="{5E0199E7-CA96-4E06-9DCB-9CA91337627F}"/>
    <hyperlink ref="I182" r:id="rId70" tooltip="https://learn.microsoft.com/training/modules/choose-azure-services-sla-lifecycle/?WT.mc_id=AZ-MVP-5004796" xr:uid="{E8D9E8D0-C88A-424F-8D8C-5091B144C971}"/>
    <hyperlink ref="H201" r:id="rId71" tooltip="https://learn.microsoft.com/azure/firewall/overview?WT.mc_id=AZ-MVP-5004796" xr:uid="{916512E6-555E-4A26-B0B9-76A3948AF482}"/>
  </hyperlinks>
  <pageMargins left="0.7" right="0.7" top="0.75" bottom="0.75" header="0.3" footer="0.3"/>
  <pageSetup paperSize="9" orientation="portrait" horizontalDpi="4294967293" r:id="rId72"/>
  <drawing r:id="rId73"/>
  <legacyDrawing r:id="rId74"/>
  <mc:AlternateContent xmlns:mc="http://schemas.openxmlformats.org/markup-compatibility/2006">
    <mc:Choice Requires="x14">
      <controls>
        <mc:AlternateContent xmlns:mc="http://schemas.openxmlformats.org/markup-compatibility/2006">
          <mc:Choice Requires="x14">
            <control shapeId="1025" r:id="rId75" name="Button 1">
              <controlPr defaultSize="0" print="0" autoFill="0" autoPict="0" macro="[0]!Sheet1.export_json">
                <anchor moveWithCells="1" sizeWithCells="1">
                  <from>
                    <xdr:col>6</xdr:col>
                    <xdr:colOff>4895850</xdr:colOff>
                    <xdr:row>1</xdr:row>
                    <xdr:rowOff>533400</xdr:rowOff>
                  </from>
                  <to>
                    <xdr:col>8</xdr:col>
                    <xdr:colOff>885825</xdr:colOff>
                    <xdr:row>2</xdr:row>
                    <xdr:rowOff>85725</xdr:rowOff>
                  </to>
                </anchor>
              </controlPr>
            </control>
          </mc:Choice>
        </mc:AlternateContent>
        <mc:AlternateContent xmlns:mc="http://schemas.openxmlformats.org/markup-compatibility/2006">
          <mc:Choice Requires="x14">
            <control shapeId="1027" r:id="rId76" name="Button 3">
              <controlPr defaultSize="0" print="0" autoFill="0" autoPict="0" macro="[0]!Sheet1.import_checklist">
                <anchor moveWithCells="1">
                  <from>
                    <xdr:col>6</xdr:col>
                    <xdr:colOff>4905375</xdr:colOff>
                    <xdr:row>1</xdr:row>
                    <xdr:rowOff>219075</xdr:rowOff>
                  </from>
                  <to>
                    <xdr:col>7</xdr:col>
                    <xdr:colOff>2152650</xdr:colOff>
                    <xdr:row>1</xdr:row>
                    <xdr:rowOff>476250</xdr:rowOff>
                  </to>
                </anchor>
              </controlPr>
            </control>
          </mc:Choice>
        </mc:AlternateContent>
        <mc:AlternateContent xmlns:mc="http://schemas.openxmlformats.org/markup-compatibility/2006">
          <mc:Choice Requires="x14">
            <control shapeId="1028" r:id="rId77" name="Button 4">
              <controlPr defaultSize="0" print="0" autoFill="0" autoPict="0" macro="[0]!Sheet1.import_checklist_fromurl">
                <anchor moveWithCells="1" sizeWithCells="1">
                  <from>
                    <xdr:col>3</xdr:col>
                    <xdr:colOff>76200</xdr:colOff>
                    <xdr:row>1</xdr:row>
                    <xdr:rowOff>161925</xdr:rowOff>
                  </from>
                  <to>
                    <xdr:col>3</xdr:col>
                    <xdr:colOff>2019300</xdr:colOff>
                    <xdr:row>1</xdr:row>
                    <xdr:rowOff>476250</xdr:rowOff>
                  </to>
                </anchor>
              </controlPr>
            </control>
          </mc:Choice>
        </mc:AlternateContent>
        <mc:AlternateContent xmlns:mc="http://schemas.openxmlformats.org/markup-compatibility/2006">
          <mc:Choice Requires="x14">
            <control shapeId="1043" r:id="rId78" name="Button 19">
              <controlPr defaultSize="0" print="0" autoFill="0" autoPict="0" macro="[0]!Sheet1.import_graph_results">
                <anchor moveWithCells="1" sizeWithCells="1">
                  <from>
                    <xdr:col>6</xdr:col>
                    <xdr:colOff>4905375</xdr:colOff>
                    <xdr:row>2</xdr:row>
                    <xdr:rowOff>152400</xdr:rowOff>
                  </from>
                  <to>
                    <xdr:col>8</xdr:col>
                    <xdr:colOff>904875</xdr:colOff>
                    <xdr:row>3</xdr:row>
                    <xdr:rowOff>180975</xdr:rowOff>
                  </to>
                </anchor>
              </controlPr>
            </control>
          </mc:Choice>
        </mc:AlternateContent>
        <mc:AlternateContent xmlns:mc="http://schemas.openxmlformats.org/markup-compatibility/2006">
          <mc:Choice Requires="x14">
            <control shapeId="1029" r:id="rId79" name="Group Box 5">
              <controlPr defaultSize="0" autoFill="0" autoPict="0">
                <anchor moveWithCells="1">
                  <from>
                    <xdr:col>6</xdr:col>
                    <xdr:colOff>4524375</xdr:colOff>
                    <xdr:row>1</xdr:row>
                    <xdr:rowOff>142875</xdr:rowOff>
                  </from>
                  <to>
                    <xdr:col>7</xdr:col>
                    <xdr:colOff>2457450</xdr:colOff>
                    <xdr:row>4</xdr:row>
                    <xdr:rowOff>66675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9539AB88-4F2A-4CB7-BCCB-E840D31820E2}">
            <x14:dataBar minLength="0" maxLength="100" gradient="0">
              <x14:cfvo type="autoMin"/>
              <x14:cfvo type="autoMax"/>
              <x14:negativeFillColor rgb="FFFF0000"/>
              <x14:axisColor rgb="FF000000"/>
            </x14:dataBar>
          </x14:cfRule>
          <xm:sqref>L8:P8</xm:sqref>
        </x14:conditionalFormatting>
        <x14:conditionalFormatting xmlns:xm="http://schemas.microsoft.com/office/excel/2006/main">
          <x14:cfRule type="cellIs" priority="299" operator="equal" id="{EF374120-932D-4038-9401-491522B428CB}">
            <xm:f>Values!$B$5</xm:f>
            <x14:dxf>
              <fill>
                <patternFill>
                  <bgColor rgb="FF00B050"/>
                </patternFill>
              </fill>
            </x14:dxf>
          </x14:cfRule>
          <xm:sqref>F10:F300</xm:sqref>
        </x14:conditionalFormatting>
        <x14:conditionalFormatting xmlns:xm="http://schemas.microsoft.com/office/excel/2006/main">
          <x14:cfRule type="cellIs" priority="309" operator="equal" id="{3FAF5097-EDD1-413B-B67D-F709427CE1C9}">
            <xm:f>Values!$B$4</xm:f>
            <x14:dxf>
              <fill>
                <patternFill>
                  <bgColor rgb="FF00B050"/>
                </patternFill>
              </fill>
            </x14:dxf>
          </x14:cfRule>
          <x14:cfRule type="cellIs" priority="310" operator="equal" id="{3C8D81A4-1510-449F-9D38-BCF8671ECC50}">
            <xm:f>Values!$B$2</xm:f>
            <x14:dxf>
              <fill>
                <patternFill>
                  <bgColor rgb="FFFFC000"/>
                </patternFill>
              </fill>
            </x14:dxf>
          </x14:cfRule>
          <x14:cfRule type="cellIs" priority="311" operator="equal" id="{5DD2E7F1-CAD4-490A-AC66-C26C1EFC893B}">
            <xm:f>Values!$B$6</xm:f>
            <x14:dxf>
              <fill>
                <patternFill>
                  <bgColor theme="2"/>
                </patternFill>
              </fill>
            </x14:dxf>
          </x14:cfRule>
          <x14:cfRule type="cellIs" priority="312" operator="equal" id="{90DE5207-6C3E-4BA7-A439-C362737755D9}">
            <xm:f>Values!$B$3</xm:f>
            <x14:dxf>
              <fill>
                <patternFill>
                  <bgColor rgb="FFFF0000"/>
                </patternFill>
              </fill>
            </x14:dxf>
          </x14:cfRule>
          <xm:sqref>F10:F300</xm:sqref>
        </x14:conditionalFormatting>
        <x14:conditionalFormatting xmlns:xm="http://schemas.microsoft.com/office/excel/2006/main">
          <x14:cfRule type="cellIs" priority="313" operator="equal" id="{42CD8C9C-EAE9-4067-8FFE-DEE350E9C5BE}">
            <xm:f>Values!$B$5</xm:f>
            <x14:dxf>
              <fill>
                <patternFill>
                  <bgColor rgb="FF00B050"/>
                </patternFill>
              </fill>
            </x14:dxf>
          </x14:cfRule>
          <x14:cfRule type="cellIs" priority="314" operator="equal" id="{91328A24-1F53-4224-ADBE-F78CC4D5E6CA}">
            <xm:f>Values!$B$4</xm:f>
            <x14:dxf>
              <fill>
                <patternFill>
                  <bgColor rgb="FF00B050"/>
                </patternFill>
              </fill>
            </x14:dxf>
          </x14:cfRule>
          <x14:cfRule type="cellIs" priority="315" operator="equal" id="{459885FA-A26D-4BDE-8A0C-5550B1911868}">
            <xm:f>Values!$B$2</xm:f>
            <x14:dxf>
              <fill>
                <patternFill>
                  <bgColor rgb="FFFFC000"/>
                </patternFill>
              </fill>
            </x14:dxf>
          </x14:cfRule>
          <x14:cfRule type="cellIs" priority="316" operator="equal" id="{D63EC4D8-AFAA-4A8D-848E-A859B545A99A}">
            <xm:f>Values!$B$6</xm:f>
            <x14:dxf>
              <fill>
                <patternFill>
                  <bgColor theme="2"/>
                </patternFill>
              </fill>
            </x14:dxf>
          </x14:cfRule>
          <x14:cfRule type="cellIs" priority="317" operator="equal" id="{3D909DF5-1B95-4F55-9712-A0209D660DEB}">
            <xm:f>Values!$B$3</xm:f>
            <x14:dxf>
              <fill>
                <patternFill>
                  <bgColor rgb="FFFF0000"/>
                </patternFill>
              </fill>
            </x14:dxf>
          </x14:cfRule>
          <xm:sqref>E4:E8</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2B2B990-4A86-4049-A8DE-23C2DA4C5AB7}">
          <x14:formula1>
            <xm:f>Values!$G$2:$G$6</xm:f>
          </x14:formula1>
          <xm:sqref>F2:F3</xm:sqref>
        </x14:dataValidation>
        <x14:dataValidation type="list" allowBlank="1" showInputMessage="1" showErrorMessage="1" xr:uid="{D1412479-1CA8-4F35-8E2F-40DF6F1A942B}">
          <x14:formula1>
            <xm:f>Values!$F$2:$F$6</xm:f>
          </x14:formula1>
          <xm:sqref>E3</xm:sqref>
        </x14:dataValidation>
        <x14:dataValidation type="list" allowBlank="1" showInputMessage="1" showErrorMessage="1" xr:uid="{3B42DE15-645A-4E06-86AA-0E7EE308B74D}">
          <x14:formula1>
            <xm:f>Values!$A$2:$A$4</xm:f>
          </x14:formula1>
          <xm:sqref>E10:E273</xm:sqref>
        </x14:dataValidation>
        <x14:dataValidation type="list" allowBlank="1" showInputMessage="1" showErrorMessage="1" xr:uid="{4E60EA48-6D70-440F-850F-6AB151308106}">
          <x14:formula1>
            <xm:f>Values!$B$2:$B$6</xm:f>
          </x14:formula1>
          <xm:sqref>F10:F300</xm:sqref>
        </x14:dataValidation>
        <x14:dataValidation type="list" allowBlank="1" showInputMessage="1" showErrorMessage="1" xr:uid="{1FADF299-D3F5-4738-87C9-07B95BA322CB}">
          <x14:formula1>
            <xm:f>Values!$F$2:$F$15</xm:f>
          </x14:formula1>
          <xm:sqref>E2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2B29A-68B4-4EF5-953B-ED7ED6325293}">
  <sheetPr codeName="Sheet2"/>
  <dimension ref="A1:K15"/>
  <sheetViews>
    <sheetView workbookViewId="0">
      <selection activeCell="F9" sqref="F9"/>
    </sheetView>
  </sheetViews>
  <sheetFormatPr defaultRowHeight="15"/>
  <cols>
    <col min="2" max="2" width="10" bestFit="1" customWidth="1"/>
    <col min="3" max="3" width="16.85546875" customWidth="1"/>
    <col min="6" max="6" width="16.28515625" customWidth="1"/>
    <col min="7" max="7" width="18.140625" customWidth="1"/>
    <col min="9" max="9" width="17.5703125" customWidth="1"/>
    <col min="10" max="10" width="25.7109375" customWidth="1"/>
    <col min="11" max="11" width="15.7109375" customWidth="1"/>
  </cols>
  <sheetData>
    <row r="1" spans="1:11">
      <c r="A1" s="13" t="s">
        <v>2</v>
      </c>
      <c r="B1" s="13" t="s">
        <v>3</v>
      </c>
      <c r="C1" s="13" t="s">
        <v>15</v>
      </c>
      <c r="D1" s="13" t="s">
        <v>20</v>
      </c>
      <c r="E1" s="13" t="s">
        <v>25</v>
      </c>
      <c r="F1" s="13" t="s">
        <v>28</v>
      </c>
      <c r="G1" s="13" t="s">
        <v>29</v>
      </c>
      <c r="H1" s="13" t="s">
        <v>42</v>
      </c>
      <c r="J1" s="13" t="s">
        <v>48</v>
      </c>
      <c r="K1" s="13" t="s">
        <v>54</v>
      </c>
    </row>
    <row r="2" spans="1:11">
      <c r="A2" t="s">
        <v>5</v>
      </c>
      <c r="B2" s="11" t="s">
        <v>6</v>
      </c>
      <c r="C2" t="s">
        <v>124</v>
      </c>
      <c r="D2" t="s">
        <v>22</v>
      </c>
      <c r="E2" t="s">
        <v>39</v>
      </c>
      <c r="F2" t="s">
        <v>30</v>
      </c>
      <c r="G2" t="s">
        <v>34</v>
      </c>
      <c r="H2" t="s">
        <v>43</v>
      </c>
      <c r="J2" t="s">
        <v>49</v>
      </c>
      <c r="K2" t="s">
        <v>55</v>
      </c>
    </row>
    <row r="3" spans="1:11">
      <c r="A3" t="s">
        <v>8</v>
      </c>
      <c r="B3" s="8" t="s">
        <v>9</v>
      </c>
      <c r="C3" t="s">
        <v>166</v>
      </c>
      <c r="F3" t="s">
        <v>31</v>
      </c>
      <c r="G3" t="s">
        <v>35</v>
      </c>
      <c r="H3" t="s">
        <v>44</v>
      </c>
      <c r="J3" t="s">
        <v>50</v>
      </c>
      <c r="K3" t="s">
        <v>56</v>
      </c>
    </row>
    <row r="4" spans="1:11">
      <c r="A4" t="s">
        <v>7</v>
      </c>
      <c r="B4" s="9" t="s">
        <v>10</v>
      </c>
      <c r="C4" t="s">
        <v>116</v>
      </c>
      <c r="F4" t="s">
        <v>32</v>
      </c>
      <c r="G4" t="s">
        <v>36</v>
      </c>
      <c r="H4" t="s">
        <v>46</v>
      </c>
      <c r="J4" t="s">
        <v>51</v>
      </c>
      <c r="K4" t="s">
        <v>57</v>
      </c>
    </row>
    <row r="5" spans="1:11">
      <c r="B5" s="9" t="s">
        <v>69</v>
      </c>
      <c r="C5" t="s">
        <v>150</v>
      </c>
      <c r="F5" t="s">
        <v>40</v>
      </c>
      <c r="G5" t="s">
        <v>37</v>
      </c>
      <c r="H5" t="s">
        <v>75</v>
      </c>
      <c r="J5" t="s">
        <v>52</v>
      </c>
      <c r="K5" t="s">
        <v>58</v>
      </c>
    </row>
    <row r="6" spans="1:11">
      <c r="B6" s="10" t="s">
        <v>11</v>
      </c>
      <c r="C6" t="s">
        <v>454</v>
      </c>
      <c r="F6" t="s">
        <v>33</v>
      </c>
      <c r="G6" t="s">
        <v>38</v>
      </c>
      <c r="H6" t="s">
        <v>45</v>
      </c>
      <c r="J6" t="s">
        <v>53</v>
      </c>
      <c r="K6" t="s">
        <v>59</v>
      </c>
    </row>
    <row r="7" spans="1:11">
      <c r="C7" t="s">
        <v>546</v>
      </c>
      <c r="F7" t="s">
        <v>47</v>
      </c>
      <c r="J7" t="s">
        <v>60</v>
      </c>
    </row>
    <row r="8" spans="1:11">
      <c r="C8" t="s">
        <v>129</v>
      </c>
      <c r="F8" t="s">
        <v>76</v>
      </c>
      <c r="J8" t="s">
        <v>77</v>
      </c>
    </row>
    <row r="9" spans="1:11">
      <c r="C9" t="s">
        <v>94</v>
      </c>
      <c r="F9" t="s">
        <v>91</v>
      </c>
      <c r="J9" t="s">
        <v>79</v>
      </c>
    </row>
    <row r="10" spans="1:11">
      <c r="C10" t="s">
        <v>142</v>
      </c>
      <c r="F10" t="s">
        <v>78</v>
      </c>
      <c r="J10" t="s">
        <v>80</v>
      </c>
    </row>
    <row r="11" spans="1:11">
      <c r="C11" t="s">
        <v>33</v>
      </c>
      <c r="F11" t="s">
        <v>82</v>
      </c>
      <c r="J11" t="s">
        <v>81</v>
      </c>
    </row>
    <row r="12" spans="1:11">
      <c r="F12" t="s">
        <v>83</v>
      </c>
      <c r="J12" t="s">
        <v>84</v>
      </c>
    </row>
    <row r="13" spans="1:11">
      <c r="F13" t="s">
        <v>85</v>
      </c>
      <c r="J13" t="s">
        <v>86</v>
      </c>
    </row>
    <row r="14" spans="1:11">
      <c r="F14" t="s">
        <v>87</v>
      </c>
      <c r="J14" t="s">
        <v>89</v>
      </c>
    </row>
    <row r="15" spans="1:11">
      <c r="F15" t="s">
        <v>88</v>
      </c>
      <c r="J15" t="s">
        <v>90</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794334CC6606F44A93A487BC970477E" ma:contentTypeVersion="16" ma:contentTypeDescription="Create a new document." ma:contentTypeScope="" ma:versionID="5201e3e9de6145474422a5b0d0b1199e">
  <xsd:schema xmlns:xsd="http://www.w3.org/2001/XMLSchema" xmlns:xs="http://www.w3.org/2001/XMLSchema" xmlns:p="http://schemas.microsoft.com/office/2006/metadata/properties" xmlns:ns1="http://schemas.microsoft.com/sharepoint/v3" xmlns:ns2="d681aa6a-578a-4b4a-96ad-20ed8468a31e" xmlns:ns3="be38a625-1701-4e45-b38e-aec531d5a71a" xmlns:ns4="230e9df3-be65-4c73-a93b-d1236ebd677e" targetNamespace="http://schemas.microsoft.com/office/2006/metadata/properties" ma:root="true" ma:fieldsID="35fb9782c1897be4b0e6934fdec9bd44" ns1:_="" ns2:_="" ns3:_="" ns4:_="">
    <xsd:import namespace="http://schemas.microsoft.com/sharepoint/v3"/>
    <xsd:import namespace="d681aa6a-578a-4b4a-96ad-20ed8468a31e"/>
    <xsd:import namespace="be38a625-1701-4e45-b38e-aec531d5a71a"/>
    <xsd:import namespace="230e9df3-be65-4c73-a93b-d1236ebd677e"/>
    <xsd:element name="properties">
      <xsd:complexType>
        <xsd:sequence>
          <xsd:element name="documentManagement">
            <xsd:complexType>
              <xsd:all>
                <xsd:element ref="ns2:MediaServiceMetadata" minOccurs="0"/>
                <xsd:element ref="ns2:MediaServiceFastMetadata"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element ref="ns1:_ip_UnifiedCompliancePolicyProperties" minOccurs="0"/>
                <xsd:element ref="ns1:_ip_UnifiedCompliancePolicyUIAction" minOccurs="0"/>
                <xsd:element ref="ns2:lcf76f155ced4ddcb4097134ff3c332f" minOccurs="0"/>
                <xsd:element ref="ns4: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8" nillable="true" ma:displayName="Unified Compliance Policy Properties" ma:hidden="true" ma:internalName="_ip_UnifiedCompliancePolicyProperties">
      <xsd:simpleType>
        <xsd:restriction base="dms:Note"/>
      </xsd:simpleType>
    </xsd:element>
    <xsd:element name="_ip_UnifiedCompliancePolicyUIAction" ma:index="19"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681aa6a-578a-4b4a-96ad-20ed8468a31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0" nillable="true" ma:displayName="Extracted Text" ma:internalName="MediaServiceOCR" ma:readOnly="true">
      <xsd:simpleType>
        <xsd:restriction base="dms:Note">
          <xsd:maxLength value="255"/>
        </xsd:restriction>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DateTaken" ma:index="17" nillable="true" ma:displayName="MediaServiceDateTaken" ma:hidden="true" ma:internalName="MediaServiceDateTaken" ma:readOnly="true">
      <xsd:simpleType>
        <xsd:restriction base="dms:Text"/>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e385fb40-52d4-4fae-9c5b-3e8ff8a5878e"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be38a625-1701-4e45-b38e-aec531d5a71a"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230e9df3-be65-4c73-a93b-d1236ebd677e" elementFormDefault="qualified">
    <xsd:import namespace="http://schemas.microsoft.com/office/2006/documentManagement/types"/>
    <xsd:import namespace="http://schemas.microsoft.com/office/infopath/2007/PartnerControls"/>
    <xsd:element name="TaxCatchAll" ma:index="22" nillable="true" ma:displayName="Taxonomy Catch All Column" ma:hidden="true" ma:list="{148b0ff7-8c1e-4dfb-9593-c6f0e24a20e3}" ma:internalName="TaxCatchAll" ma:showField="CatchAllData" ma:web="be38a625-1701-4e45-b38e-aec531d5a71a">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MediaServiceKeyPoints xmlns="d681aa6a-578a-4b4a-96ad-20ed8468a31e" xsi:nil="true"/>
    <lcf76f155ced4ddcb4097134ff3c332f xmlns="d681aa6a-578a-4b4a-96ad-20ed8468a31e">
      <Terms xmlns="http://schemas.microsoft.com/office/infopath/2007/PartnerControls"/>
    </lcf76f155ced4ddcb4097134ff3c332f>
    <TaxCatchAll xmlns="230e9df3-be65-4c73-a93b-d1236ebd677e" xsi:nil="true"/>
  </documentManagement>
</p:properties>
</file>

<file path=customXml/itemProps1.xml><?xml version="1.0" encoding="utf-8"?>
<ds:datastoreItem xmlns:ds="http://schemas.openxmlformats.org/officeDocument/2006/customXml" ds:itemID="{6C2F1436-C540-47CD-B7EB-573A5E1289B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d681aa6a-578a-4b4a-96ad-20ed8468a31e"/>
    <ds:schemaRef ds:uri="be38a625-1701-4e45-b38e-aec531d5a71a"/>
    <ds:schemaRef ds:uri="230e9df3-be65-4c73-a93b-d1236ebd677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CDC1CC33-0C6E-430A-9AEA-B4CF30EFF1F9}">
  <ds:schemaRefs>
    <ds:schemaRef ds:uri="http://schemas.microsoft.com/sharepoint/v3/contenttype/forms"/>
  </ds:schemaRefs>
</ds:datastoreItem>
</file>

<file path=customXml/itemProps3.xml><?xml version="1.0" encoding="utf-8"?>
<ds:datastoreItem xmlns:ds="http://schemas.openxmlformats.org/officeDocument/2006/customXml" ds:itemID="{5A12DF1A-88E4-48A5-BF96-2ED16263F29E}">
  <ds:schemaRefs>
    <ds:schemaRef ds:uri="http://purl.org/dc/terms/"/>
    <ds:schemaRef ds:uri="http://schemas.microsoft.com/office/infopath/2007/PartnerControls"/>
    <ds:schemaRef ds:uri="http://purl.org/dc/elements/1.1/"/>
    <ds:schemaRef ds:uri="be38a625-1701-4e45-b38e-aec531d5a71a"/>
    <ds:schemaRef ds:uri="http://schemas.microsoft.com/office/2006/documentManagement/types"/>
    <ds:schemaRef ds:uri="230e9df3-be65-4c73-a93b-d1236ebd677e"/>
    <ds:schemaRef ds:uri="http://purl.org/dc/dcmitype/"/>
    <ds:schemaRef ds:uri="http://schemas.microsoft.com/sharepoint/v3"/>
    <ds:schemaRef ds:uri="http://www.w3.org/XML/1998/namespace"/>
    <ds:schemaRef ds:uri="http://schemas.openxmlformats.org/package/2006/metadata/core-properties"/>
    <ds:schemaRef ds:uri="d681aa6a-578a-4b4a-96ad-20ed8468a31e"/>
    <ds:schemaRef ds:uri="http://schemas.microsoft.com/office/2006/metadata/properties"/>
  </ds:schemaRefs>
</ds:datastoreItem>
</file>

<file path=docMetadata/LabelInfo.xml><?xml version="1.0" encoding="utf-8"?>
<clbl:labelList xmlns:clbl="http://schemas.microsoft.com/office/2020/mipLabelMetadata">
  <clbl:label id="{f42aa342-8706-4288-bd11-ebb85995028c}" enabled="1" method="Standard" siteId="{72f988bf-86f1-41af-91ab-2d7cd011db47}"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Checklist</vt:lpstr>
      <vt:lpstr>Values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Jose Moreno</dc:creator>
  <cp:keywords/>
  <dc:description/>
  <cp:lastModifiedBy>Luke Murray</cp:lastModifiedBy>
  <cp:revision/>
  <dcterms:created xsi:type="dcterms:W3CDTF">2021-01-25T16:35:48Z</dcterms:created>
  <dcterms:modified xsi:type="dcterms:W3CDTF">2023-02-14T09:28:51Z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f42aa342-8706-4288-bd11-ebb85995028c_Enabled">
    <vt:lpwstr>true</vt:lpwstr>
  </property>
  <property fmtid="{D5CDD505-2E9C-101B-9397-08002B2CF9AE}" pid="3" name="MSIP_Label_f42aa342-8706-4288-bd11-ebb85995028c_SetDate">
    <vt:lpwstr>2021-07-19T14:35:34Z</vt:lpwstr>
  </property>
  <property fmtid="{D5CDD505-2E9C-101B-9397-08002B2CF9AE}" pid="4" name="MSIP_Label_f42aa342-8706-4288-bd11-ebb85995028c_Method">
    <vt:lpwstr>Standard</vt:lpwstr>
  </property>
  <property fmtid="{D5CDD505-2E9C-101B-9397-08002B2CF9AE}" pid="5" name="MSIP_Label_f42aa342-8706-4288-bd11-ebb85995028c_Name">
    <vt:lpwstr>Internal</vt:lpwstr>
  </property>
  <property fmtid="{D5CDD505-2E9C-101B-9397-08002B2CF9AE}" pid="6" name="MSIP_Label_f42aa342-8706-4288-bd11-ebb85995028c_SiteId">
    <vt:lpwstr>72f988bf-86f1-41af-91ab-2d7cd011db47</vt:lpwstr>
  </property>
  <property fmtid="{D5CDD505-2E9C-101B-9397-08002B2CF9AE}" pid="7" name="MSIP_Label_f42aa342-8706-4288-bd11-ebb85995028c_ActionId">
    <vt:lpwstr>2caa78b6-61a8-4e5d-8b7d-e3081b6a26eb</vt:lpwstr>
  </property>
  <property fmtid="{D5CDD505-2E9C-101B-9397-08002B2CF9AE}" pid="8" name="MSIP_Label_f42aa342-8706-4288-bd11-ebb85995028c_ContentBits">
    <vt:lpwstr>0</vt:lpwstr>
  </property>
  <property fmtid="{D5CDD505-2E9C-101B-9397-08002B2CF9AE}" pid="9" name="ContentTypeId">
    <vt:lpwstr>0x010100C794334CC6606F44A93A487BC970477E</vt:lpwstr>
  </property>
</Properties>
</file>